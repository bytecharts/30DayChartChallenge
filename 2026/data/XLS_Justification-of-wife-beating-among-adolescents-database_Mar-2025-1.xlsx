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unicef-my.sharepoint.com/personal/mjugder_unicef_org/Documents/Documents/Work materials NYHQ/UNICEF global databases/data.unicef.org/2025/"/>
    </mc:Choice>
  </mc:AlternateContent>
  <xr:revisionPtr revIDLastSave="284" documentId="8_{69F3870F-C7DD-4670-82C6-FBAD2AAFDD52}" xr6:coauthVersionLast="47" xr6:coauthVersionMax="47" xr10:uidLastSave="{BE2AA5BA-C300-4508-9D6D-E95D7B9B45B2}"/>
  <bookViews>
    <workbookView xWindow="-108" yWindow="-108" windowWidth="23256" windowHeight="13896" xr2:uid="{0551643A-EB40-4732-95BA-8731CE93851B}"/>
  </bookViews>
  <sheets>
    <sheet name="Justification of wife-beating" sheetId="1" r:id="rId1"/>
    <sheet name="Justification of wife-beati chk" sheetId="4" state="hidden" r:id="rId2"/>
  </sheets>
  <definedNames>
    <definedName name="_xlnm._FilterDatabase" localSheetId="1" hidden="1">'Justification of wife-beati chk'!$A$10:$O$228</definedName>
    <definedName name="_xlnm._FilterDatabase" localSheetId="0" hidden="1">'Justification of wife-beating'!$A$10:$W$228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228" i="4" l="1"/>
  <c r="N228" i="4"/>
  <c r="M228" i="4"/>
  <c r="L228" i="4"/>
  <c r="K228" i="4"/>
  <c r="J228" i="4"/>
  <c r="O227" i="4"/>
  <c r="N227" i="4"/>
  <c r="M227" i="4"/>
  <c r="L227" i="4"/>
  <c r="K227" i="4"/>
  <c r="J227" i="4"/>
  <c r="O226" i="4"/>
  <c r="N226" i="4"/>
  <c r="M226" i="4"/>
  <c r="L226" i="4"/>
  <c r="K226" i="4"/>
  <c r="J226" i="4"/>
  <c r="O225" i="4"/>
  <c r="N225" i="4"/>
  <c r="M225" i="4"/>
  <c r="L225" i="4"/>
  <c r="K225" i="4"/>
  <c r="J225" i="4"/>
  <c r="O224" i="4"/>
  <c r="N224" i="4"/>
  <c r="M224" i="4"/>
  <c r="L224" i="4"/>
  <c r="K224" i="4"/>
  <c r="J224" i="4"/>
  <c r="O223" i="4"/>
  <c r="N223" i="4"/>
  <c r="M223" i="4"/>
  <c r="L223" i="4"/>
  <c r="K223" i="4"/>
  <c r="J223" i="4"/>
  <c r="O222" i="4"/>
  <c r="N222" i="4"/>
  <c r="M222" i="4"/>
  <c r="L222" i="4"/>
  <c r="K222" i="4"/>
  <c r="J222" i="4"/>
  <c r="O221" i="4"/>
  <c r="N221" i="4"/>
  <c r="M221" i="4"/>
  <c r="L221" i="4"/>
  <c r="K221" i="4"/>
  <c r="J221" i="4"/>
  <c r="O220" i="4"/>
  <c r="N220" i="4"/>
  <c r="M220" i="4"/>
  <c r="L220" i="4"/>
  <c r="K220" i="4"/>
  <c r="J220" i="4"/>
  <c r="O219" i="4"/>
  <c r="N219" i="4"/>
  <c r="M219" i="4"/>
  <c r="L219" i="4"/>
  <c r="K219" i="4"/>
  <c r="J219" i="4"/>
  <c r="O218" i="4"/>
  <c r="N218" i="4"/>
  <c r="M218" i="4"/>
  <c r="L218" i="4"/>
  <c r="K218" i="4"/>
  <c r="J218" i="4"/>
  <c r="O217" i="4"/>
  <c r="N217" i="4"/>
  <c r="M217" i="4"/>
  <c r="L217" i="4"/>
  <c r="K217" i="4"/>
  <c r="J217" i="4"/>
  <c r="O216" i="4"/>
  <c r="N216" i="4"/>
  <c r="M216" i="4"/>
  <c r="L216" i="4"/>
  <c r="K216" i="4"/>
  <c r="J216" i="4"/>
  <c r="O215" i="4"/>
  <c r="N215" i="4"/>
  <c r="M215" i="4"/>
  <c r="L215" i="4"/>
  <c r="K215" i="4"/>
  <c r="J215" i="4"/>
  <c r="O214" i="4"/>
  <c r="N214" i="4"/>
  <c r="M214" i="4"/>
  <c r="L214" i="4"/>
  <c r="K214" i="4"/>
  <c r="J214" i="4"/>
  <c r="O213" i="4"/>
  <c r="N213" i="4"/>
  <c r="M213" i="4"/>
  <c r="L213" i="4"/>
  <c r="K213" i="4"/>
  <c r="J213" i="4"/>
  <c r="O212" i="4"/>
  <c r="N212" i="4"/>
  <c r="M212" i="4"/>
  <c r="L212" i="4"/>
  <c r="K212" i="4"/>
  <c r="J212" i="4"/>
  <c r="O211" i="4"/>
  <c r="N211" i="4"/>
  <c r="M211" i="4"/>
  <c r="L211" i="4"/>
  <c r="K211" i="4"/>
  <c r="J211" i="4"/>
  <c r="O210" i="4"/>
  <c r="N210" i="4"/>
  <c r="M210" i="4"/>
  <c r="L210" i="4"/>
  <c r="K210" i="4"/>
  <c r="J210" i="4"/>
  <c r="O209" i="4"/>
  <c r="N209" i="4"/>
  <c r="M209" i="4"/>
  <c r="L209" i="4"/>
  <c r="K209" i="4"/>
  <c r="J209" i="4"/>
  <c r="O208" i="4"/>
  <c r="N208" i="4"/>
  <c r="M208" i="4"/>
  <c r="L208" i="4"/>
  <c r="K208" i="4"/>
  <c r="J208" i="4"/>
  <c r="O207" i="4"/>
  <c r="N207" i="4"/>
  <c r="M207" i="4"/>
  <c r="L207" i="4"/>
  <c r="K207" i="4"/>
  <c r="J207" i="4"/>
  <c r="O206" i="4"/>
  <c r="N206" i="4"/>
  <c r="M206" i="4"/>
  <c r="L206" i="4"/>
  <c r="K206" i="4"/>
  <c r="J206" i="4"/>
  <c r="O205" i="4"/>
  <c r="N205" i="4"/>
  <c r="M205" i="4"/>
  <c r="L205" i="4"/>
  <c r="K205" i="4"/>
  <c r="J205" i="4"/>
  <c r="O204" i="4"/>
  <c r="N204" i="4"/>
  <c r="M204" i="4"/>
  <c r="L204" i="4"/>
  <c r="K204" i="4"/>
  <c r="J204" i="4"/>
  <c r="O203" i="4"/>
  <c r="N203" i="4"/>
  <c r="M203" i="4"/>
  <c r="L203" i="4"/>
  <c r="K203" i="4"/>
  <c r="J203" i="4"/>
  <c r="O202" i="4"/>
  <c r="N202" i="4"/>
  <c r="M202" i="4"/>
  <c r="L202" i="4"/>
  <c r="K202" i="4"/>
  <c r="J202" i="4"/>
  <c r="O201" i="4"/>
  <c r="N201" i="4"/>
  <c r="M201" i="4"/>
  <c r="L201" i="4"/>
  <c r="K201" i="4"/>
  <c r="J201" i="4"/>
  <c r="O200" i="4"/>
  <c r="N200" i="4"/>
  <c r="M200" i="4"/>
  <c r="L200" i="4"/>
  <c r="K200" i="4"/>
  <c r="J200" i="4"/>
  <c r="O199" i="4"/>
  <c r="N199" i="4"/>
  <c r="M199" i="4"/>
  <c r="L199" i="4"/>
  <c r="K199" i="4"/>
  <c r="J199" i="4"/>
  <c r="O198" i="4"/>
  <c r="N198" i="4"/>
  <c r="M198" i="4"/>
  <c r="L198" i="4"/>
  <c r="K198" i="4"/>
  <c r="J198" i="4"/>
  <c r="O197" i="4"/>
  <c r="N197" i="4"/>
  <c r="M197" i="4"/>
  <c r="L197" i="4"/>
  <c r="K197" i="4"/>
  <c r="J197" i="4"/>
  <c r="O196" i="4"/>
  <c r="N196" i="4"/>
  <c r="M196" i="4"/>
  <c r="L196" i="4"/>
  <c r="K196" i="4"/>
  <c r="J196" i="4"/>
  <c r="O195" i="4"/>
  <c r="N195" i="4"/>
  <c r="M195" i="4"/>
  <c r="L195" i="4"/>
  <c r="K195" i="4"/>
  <c r="J195" i="4"/>
  <c r="O194" i="4"/>
  <c r="N194" i="4"/>
  <c r="M194" i="4"/>
  <c r="L194" i="4"/>
  <c r="K194" i="4"/>
  <c r="J194" i="4"/>
  <c r="O193" i="4"/>
  <c r="N193" i="4"/>
  <c r="M193" i="4"/>
  <c r="L193" i="4"/>
  <c r="K193" i="4"/>
  <c r="J193" i="4"/>
  <c r="O192" i="4"/>
  <c r="N192" i="4"/>
  <c r="M192" i="4"/>
  <c r="L192" i="4"/>
  <c r="K192" i="4"/>
  <c r="J192" i="4"/>
  <c r="O191" i="4"/>
  <c r="N191" i="4"/>
  <c r="M191" i="4"/>
  <c r="L191" i="4"/>
  <c r="K191" i="4"/>
  <c r="J191" i="4"/>
  <c r="O190" i="4"/>
  <c r="N190" i="4"/>
  <c r="M190" i="4"/>
  <c r="L190" i="4"/>
  <c r="K190" i="4"/>
  <c r="J190" i="4"/>
  <c r="O189" i="4"/>
  <c r="N189" i="4"/>
  <c r="M189" i="4"/>
  <c r="L189" i="4"/>
  <c r="K189" i="4"/>
  <c r="J189" i="4"/>
  <c r="O188" i="4"/>
  <c r="N188" i="4"/>
  <c r="M188" i="4"/>
  <c r="L188" i="4"/>
  <c r="K188" i="4"/>
  <c r="J188" i="4"/>
  <c r="O187" i="4"/>
  <c r="N187" i="4"/>
  <c r="M187" i="4"/>
  <c r="L187" i="4"/>
  <c r="K187" i="4"/>
  <c r="J187" i="4"/>
  <c r="O186" i="4"/>
  <c r="N186" i="4"/>
  <c r="M186" i="4"/>
  <c r="L186" i="4"/>
  <c r="K186" i="4"/>
  <c r="J186" i="4"/>
  <c r="O185" i="4"/>
  <c r="N185" i="4"/>
  <c r="M185" i="4"/>
  <c r="L185" i="4"/>
  <c r="K185" i="4"/>
  <c r="J185" i="4"/>
  <c r="O184" i="4"/>
  <c r="N184" i="4"/>
  <c r="M184" i="4"/>
  <c r="L184" i="4"/>
  <c r="K184" i="4"/>
  <c r="J184" i="4"/>
  <c r="O183" i="4"/>
  <c r="N183" i="4"/>
  <c r="M183" i="4"/>
  <c r="L183" i="4"/>
  <c r="K183" i="4"/>
  <c r="J183" i="4"/>
  <c r="O182" i="4"/>
  <c r="N182" i="4"/>
  <c r="M182" i="4"/>
  <c r="L182" i="4"/>
  <c r="K182" i="4"/>
  <c r="J182" i="4"/>
  <c r="O181" i="4"/>
  <c r="N181" i="4"/>
  <c r="M181" i="4"/>
  <c r="L181" i="4"/>
  <c r="K181" i="4"/>
  <c r="J181" i="4"/>
  <c r="O180" i="4"/>
  <c r="N180" i="4"/>
  <c r="M180" i="4"/>
  <c r="L180" i="4"/>
  <c r="K180" i="4"/>
  <c r="J180" i="4"/>
  <c r="O179" i="4"/>
  <c r="N179" i="4"/>
  <c r="M179" i="4"/>
  <c r="L179" i="4"/>
  <c r="K179" i="4"/>
  <c r="J179" i="4"/>
  <c r="O178" i="4"/>
  <c r="N178" i="4"/>
  <c r="M178" i="4"/>
  <c r="L178" i="4"/>
  <c r="K178" i="4"/>
  <c r="J178" i="4"/>
  <c r="O177" i="4"/>
  <c r="N177" i="4"/>
  <c r="M177" i="4"/>
  <c r="L177" i="4"/>
  <c r="K177" i="4"/>
  <c r="J177" i="4"/>
  <c r="O176" i="4"/>
  <c r="N176" i="4"/>
  <c r="M176" i="4"/>
  <c r="L176" i="4"/>
  <c r="K176" i="4"/>
  <c r="J176" i="4"/>
  <c r="O175" i="4"/>
  <c r="N175" i="4"/>
  <c r="M175" i="4"/>
  <c r="L175" i="4"/>
  <c r="K175" i="4"/>
  <c r="J175" i="4"/>
  <c r="O174" i="4"/>
  <c r="N174" i="4"/>
  <c r="M174" i="4"/>
  <c r="L174" i="4"/>
  <c r="K174" i="4"/>
  <c r="J174" i="4"/>
  <c r="O173" i="4"/>
  <c r="N173" i="4"/>
  <c r="M173" i="4"/>
  <c r="L173" i="4"/>
  <c r="K173" i="4"/>
  <c r="J173" i="4"/>
  <c r="O172" i="4"/>
  <c r="N172" i="4"/>
  <c r="M172" i="4"/>
  <c r="L172" i="4"/>
  <c r="K172" i="4"/>
  <c r="J172" i="4"/>
  <c r="O171" i="4"/>
  <c r="N171" i="4"/>
  <c r="M171" i="4"/>
  <c r="L171" i="4"/>
  <c r="K171" i="4"/>
  <c r="J171" i="4"/>
  <c r="O170" i="4"/>
  <c r="N170" i="4"/>
  <c r="M170" i="4"/>
  <c r="L170" i="4"/>
  <c r="K170" i="4"/>
  <c r="J170" i="4"/>
  <c r="O169" i="4"/>
  <c r="N169" i="4"/>
  <c r="M169" i="4"/>
  <c r="L169" i="4"/>
  <c r="K169" i="4"/>
  <c r="J169" i="4"/>
  <c r="O168" i="4"/>
  <c r="N168" i="4"/>
  <c r="M168" i="4"/>
  <c r="L168" i="4"/>
  <c r="K168" i="4"/>
  <c r="J168" i="4"/>
  <c r="O167" i="4"/>
  <c r="N167" i="4"/>
  <c r="M167" i="4"/>
  <c r="L167" i="4"/>
  <c r="K167" i="4"/>
  <c r="J167" i="4"/>
  <c r="O166" i="4"/>
  <c r="N166" i="4"/>
  <c r="M166" i="4"/>
  <c r="L166" i="4"/>
  <c r="K166" i="4"/>
  <c r="J166" i="4"/>
  <c r="O165" i="4"/>
  <c r="N165" i="4"/>
  <c r="M165" i="4"/>
  <c r="L165" i="4"/>
  <c r="K165" i="4"/>
  <c r="J165" i="4"/>
  <c r="O164" i="4"/>
  <c r="N164" i="4"/>
  <c r="M164" i="4"/>
  <c r="L164" i="4"/>
  <c r="K164" i="4"/>
  <c r="J164" i="4"/>
  <c r="O163" i="4"/>
  <c r="N163" i="4"/>
  <c r="M163" i="4"/>
  <c r="L163" i="4"/>
  <c r="K163" i="4"/>
  <c r="J163" i="4"/>
  <c r="O162" i="4"/>
  <c r="N162" i="4"/>
  <c r="M162" i="4"/>
  <c r="L162" i="4"/>
  <c r="K162" i="4"/>
  <c r="J162" i="4"/>
  <c r="O161" i="4"/>
  <c r="N161" i="4"/>
  <c r="M161" i="4"/>
  <c r="L161" i="4"/>
  <c r="K161" i="4"/>
  <c r="J161" i="4"/>
  <c r="O160" i="4"/>
  <c r="N160" i="4"/>
  <c r="M160" i="4"/>
  <c r="L160" i="4"/>
  <c r="K160" i="4"/>
  <c r="J160" i="4"/>
  <c r="O159" i="4"/>
  <c r="N159" i="4"/>
  <c r="M159" i="4"/>
  <c r="L159" i="4"/>
  <c r="K159" i="4"/>
  <c r="J159" i="4"/>
  <c r="O158" i="4"/>
  <c r="N158" i="4"/>
  <c r="M158" i="4"/>
  <c r="L158" i="4"/>
  <c r="K158" i="4"/>
  <c r="J158" i="4"/>
  <c r="O157" i="4"/>
  <c r="N157" i="4"/>
  <c r="M157" i="4"/>
  <c r="L157" i="4"/>
  <c r="K157" i="4"/>
  <c r="J157" i="4"/>
  <c r="O156" i="4"/>
  <c r="N156" i="4"/>
  <c r="M156" i="4"/>
  <c r="L156" i="4"/>
  <c r="K156" i="4"/>
  <c r="J156" i="4"/>
  <c r="O155" i="4"/>
  <c r="N155" i="4"/>
  <c r="M155" i="4"/>
  <c r="L155" i="4"/>
  <c r="K155" i="4"/>
  <c r="J155" i="4"/>
  <c r="O154" i="4"/>
  <c r="N154" i="4"/>
  <c r="M154" i="4"/>
  <c r="L154" i="4"/>
  <c r="K154" i="4"/>
  <c r="J154" i="4"/>
  <c r="O153" i="4"/>
  <c r="N153" i="4"/>
  <c r="M153" i="4"/>
  <c r="L153" i="4"/>
  <c r="K153" i="4"/>
  <c r="J153" i="4"/>
  <c r="O152" i="4"/>
  <c r="N152" i="4"/>
  <c r="M152" i="4"/>
  <c r="L152" i="4"/>
  <c r="K152" i="4"/>
  <c r="J152" i="4"/>
  <c r="O151" i="4"/>
  <c r="N151" i="4"/>
  <c r="M151" i="4"/>
  <c r="L151" i="4"/>
  <c r="K151" i="4"/>
  <c r="J151" i="4"/>
  <c r="O150" i="4"/>
  <c r="N150" i="4"/>
  <c r="M150" i="4"/>
  <c r="L150" i="4"/>
  <c r="K150" i="4"/>
  <c r="J150" i="4"/>
  <c r="O149" i="4"/>
  <c r="N149" i="4"/>
  <c r="M149" i="4"/>
  <c r="L149" i="4"/>
  <c r="K149" i="4"/>
  <c r="J149" i="4"/>
  <c r="O148" i="4"/>
  <c r="N148" i="4"/>
  <c r="M148" i="4"/>
  <c r="L148" i="4"/>
  <c r="K148" i="4"/>
  <c r="J148" i="4"/>
  <c r="O147" i="4"/>
  <c r="N147" i="4"/>
  <c r="M147" i="4"/>
  <c r="L147" i="4"/>
  <c r="K147" i="4"/>
  <c r="J147" i="4"/>
  <c r="O146" i="4"/>
  <c r="N146" i="4"/>
  <c r="M146" i="4"/>
  <c r="L146" i="4"/>
  <c r="K146" i="4"/>
  <c r="J146" i="4"/>
  <c r="O145" i="4"/>
  <c r="N145" i="4"/>
  <c r="M145" i="4"/>
  <c r="L145" i="4"/>
  <c r="K145" i="4"/>
  <c r="J145" i="4"/>
  <c r="O144" i="4"/>
  <c r="N144" i="4"/>
  <c r="M144" i="4"/>
  <c r="L144" i="4"/>
  <c r="K144" i="4"/>
  <c r="J144" i="4"/>
  <c r="O143" i="4"/>
  <c r="N143" i="4"/>
  <c r="M143" i="4"/>
  <c r="L143" i="4"/>
  <c r="K143" i="4"/>
  <c r="J143" i="4"/>
  <c r="O142" i="4"/>
  <c r="N142" i="4"/>
  <c r="M142" i="4"/>
  <c r="L142" i="4"/>
  <c r="K142" i="4"/>
  <c r="J142" i="4"/>
  <c r="O141" i="4"/>
  <c r="N141" i="4"/>
  <c r="M141" i="4"/>
  <c r="L141" i="4"/>
  <c r="K141" i="4"/>
  <c r="J141" i="4"/>
  <c r="O140" i="4"/>
  <c r="N140" i="4"/>
  <c r="M140" i="4"/>
  <c r="L140" i="4"/>
  <c r="K140" i="4"/>
  <c r="J140" i="4"/>
  <c r="O139" i="4"/>
  <c r="N139" i="4"/>
  <c r="M139" i="4"/>
  <c r="L139" i="4"/>
  <c r="K139" i="4"/>
  <c r="J139" i="4"/>
  <c r="O138" i="4"/>
  <c r="N138" i="4"/>
  <c r="M138" i="4"/>
  <c r="L138" i="4"/>
  <c r="K138" i="4"/>
  <c r="J138" i="4"/>
  <c r="O137" i="4"/>
  <c r="N137" i="4"/>
  <c r="M137" i="4"/>
  <c r="L137" i="4"/>
  <c r="K137" i="4"/>
  <c r="J137" i="4"/>
  <c r="O136" i="4"/>
  <c r="N136" i="4"/>
  <c r="M136" i="4"/>
  <c r="L136" i="4"/>
  <c r="K136" i="4"/>
  <c r="J136" i="4"/>
  <c r="O135" i="4"/>
  <c r="N135" i="4"/>
  <c r="M135" i="4"/>
  <c r="L135" i="4"/>
  <c r="K135" i="4"/>
  <c r="J135" i="4"/>
  <c r="O134" i="4"/>
  <c r="N134" i="4"/>
  <c r="M134" i="4"/>
  <c r="L134" i="4"/>
  <c r="K134" i="4"/>
  <c r="J134" i="4"/>
  <c r="O133" i="4"/>
  <c r="N133" i="4"/>
  <c r="M133" i="4"/>
  <c r="L133" i="4"/>
  <c r="K133" i="4"/>
  <c r="J133" i="4"/>
  <c r="O132" i="4"/>
  <c r="N132" i="4"/>
  <c r="M132" i="4"/>
  <c r="L132" i="4"/>
  <c r="K132" i="4"/>
  <c r="J132" i="4"/>
  <c r="O131" i="4"/>
  <c r="N131" i="4"/>
  <c r="M131" i="4"/>
  <c r="L131" i="4"/>
  <c r="K131" i="4"/>
  <c r="J131" i="4"/>
  <c r="O130" i="4"/>
  <c r="N130" i="4"/>
  <c r="M130" i="4"/>
  <c r="L130" i="4"/>
  <c r="K130" i="4"/>
  <c r="J130" i="4"/>
  <c r="O129" i="4"/>
  <c r="N129" i="4"/>
  <c r="M129" i="4"/>
  <c r="L129" i="4"/>
  <c r="K129" i="4"/>
  <c r="J129" i="4"/>
  <c r="O128" i="4"/>
  <c r="N128" i="4"/>
  <c r="M128" i="4"/>
  <c r="L128" i="4"/>
  <c r="K128" i="4"/>
  <c r="J128" i="4"/>
  <c r="O127" i="4"/>
  <c r="N127" i="4"/>
  <c r="M127" i="4"/>
  <c r="L127" i="4"/>
  <c r="K127" i="4"/>
  <c r="J127" i="4"/>
  <c r="O126" i="4"/>
  <c r="N126" i="4"/>
  <c r="M126" i="4"/>
  <c r="L126" i="4"/>
  <c r="K126" i="4"/>
  <c r="J126" i="4"/>
  <c r="O125" i="4"/>
  <c r="N125" i="4"/>
  <c r="M125" i="4"/>
  <c r="L125" i="4"/>
  <c r="K125" i="4"/>
  <c r="J125" i="4"/>
  <c r="O124" i="4"/>
  <c r="N124" i="4"/>
  <c r="M124" i="4"/>
  <c r="L124" i="4"/>
  <c r="K124" i="4"/>
  <c r="J124" i="4"/>
  <c r="O123" i="4"/>
  <c r="N123" i="4"/>
  <c r="M123" i="4"/>
  <c r="L123" i="4"/>
  <c r="K123" i="4"/>
  <c r="J123" i="4"/>
  <c r="O122" i="4"/>
  <c r="N122" i="4"/>
  <c r="M122" i="4"/>
  <c r="L122" i="4"/>
  <c r="K122" i="4"/>
  <c r="J122" i="4"/>
  <c r="O121" i="4"/>
  <c r="N121" i="4"/>
  <c r="M121" i="4"/>
  <c r="L121" i="4"/>
  <c r="K121" i="4"/>
  <c r="J121" i="4"/>
  <c r="O120" i="4"/>
  <c r="N120" i="4"/>
  <c r="M120" i="4"/>
  <c r="L120" i="4"/>
  <c r="K120" i="4"/>
  <c r="J120" i="4"/>
  <c r="O119" i="4"/>
  <c r="N119" i="4"/>
  <c r="M119" i="4"/>
  <c r="L119" i="4"/>
  <c r="K119" i="4"/>
  <c r="J119" i="4"/>
  <c r="O118" i="4"/>
  <c r="N118" i="4"/>
  <c r="M118" i="4"/>
  <c r="L118" i="4"/>
  <c r="K118" i="4"/>
  <c r="J118" i="4"/>
  <c r="O117" i="4"/>
  <c r="N117" i="4"/>
  <c r="M117" i="4"/>
  <c r="L117" i="4"/>
  <c r="K117" i="4"/>
  <c r="J117" i="4"/>
  <c r="O116" i="4"/>
  <c r="N116" i="4"/>
  <c r="M116" i="4"/>
  <c r="L116" i="4"/>
  <c r="K116" i="4"/>
  <c r="J116" i="4"/>
  <c r="O115" i="4"/>
  <c r="N115" i="4"/>
  <c r="M115" i="4"/>
  <c r="L115" i="4"/>
  <c r="K115" i="4"/>
  <c r="J115" i="4"/>
  <c r="O114" i="4"/>
  <c r="N114" i="4"/>
  <c r="M114" i="4"/>
  <c r="L114" i="4"/>
  <c r="K114" i="4"/>
  <c r="J114" i="4"/>
  <c r="O113" i="4"/>
  <c r="N113" i="4"/>
  <c r="M113" i="4"/>
  <c r="L113" i="4"/>
  <c r="K113" i="4"/>
  <c r="J113" i="4"/>
  <c r="O112" i="4"/>
  <c r="N112" i="4"/>
  <c r="M112" i="4"/>
  <c r="L112" i="4"/>
  <c r="K112" i="4"/>
  <c r="J112" i="4"/>
  <c r="O111" i="4"/>
  <c r="N111" i="4"/>
  <c r="M111" i="4"/>
  <c r="L111" i="4"/>
  <c r="K111" i="4"/>
  <c r="J111" i="4"/>
  <c r="O110" i="4"/>
  <c r="N110" i="4"/>
  <c r="M110" i="4"/>
  <c r="L110" i="4"/>
  <c r="K110" i="4"/>
  <c r="J110" i="4"/>
  <c r="O109" i="4"/>
  <c r="N109" i="4"/>
  <c r="M109" i="4"/>
  <c r="L109" i="4"/>
  <c r="K109" i="4"/>
  <c r="J109" i="4"/>
  <c r="O108" i="4"/>
  <c r="N108" i="4"/>
  <c r="M108" i="4"/>
  <c r="L108" i="4"/>
  <c r="K108" i="4"/>
  <c r="J108" i="4"/>
  <c r="O107" i="4"/>
  <c r="N107" i="4"/>
  <c r="M107" i="4"/>
  <c r="L107" i="4"/>
  <c r="K107" i="4"/>
  <c r="J107" i="4"/>
  <c r="O106" i="4"/>
  <c r="N106" i="4"/>
  <c r="M106" i="4"/>
  <c r="L106" i="4"/>
  <c r="K106" i="4"/>
  <c r="J106" i="4"/>
  <c r="O105" i="4"/>
  <c r="N105" i="4"/>
  <c r="M105" i="4"/>
  <c r="L105" i="4"/>
  <c r="K105" i="4"/>
  <c r="J105" i="4"/>
  <c r="O104" i="4"/>
  <c r="N104" i="4"/>
  <c r="M104" i="4"/>
  <c r="L104" i="4"/>
  <c r="K104" i="4"/>
  <c r="J104" i="4"/>
  <c r="O103" i="4"/>
  <c r="N103" i="4"/>
  <c r="M103" i="4"/>
  <c r="L103" i="4"/>
  <c r="K103" i="4"/>
  <c r="J103" i="4"/>
  <c r="O102" i="4"/>
  <c r="N102" i="4"/>
  <c r="M102" i="4"/>
  <c r="L102" i="4"/>
  <c r="K102" i="4"/>
  <c r="J102" i="4"/>
  <c r="O101" i="4"/>
  <c r="N101" i="4"/>
  <c r="M101" i="4"/>
  <c r="L101" i="4"/>
  <c r="K101" i="4"/>
  <c r="J101" i="4"/>
  <c r="O100" i="4"/>
  <c r="N100" i="4"/>
  <c r="M100" i="4"/>
  <c r="L100" i="4"/>
  <c r="K100" i="4"/>
  <c r="J100" i="4"/>
  <c r="O99" i="4"/>
  <c r="N99" i="4"/>
  <c r="M99" i="4"/>
  <c r="L99" i="4"/>
  <c r="K99" i="4"/>
  <c r="J99" i="4"/>
  <c r="O98" i="4"/>
  <c r="N98" i="4"/>
  <c r="M98" i="4"/>
  <c r="L98" i="4"/>
  <c r="K98" i="4"/>
  <c r="J98" i="4"/>
  <c r="O97" i="4"/>
  <c r="N97" i="4"/>
  <c r="M97" i="4"/>
  <c r="L97" i="4"/>
  <c r="K97" i="4"/>
  <c r="J97" i="4"/>
  <c r="O96" i="4"/>
  <c r="N96" i="4"/>
  <c r="M96" i="4"/>
  <c r="L96" i="4"/>
  <c r="K96" i="4"/>
  <c r="J96" i="4"/>
  <c r="O95" i="4"/>
  <c r="N95" i="4"/>
  <c r="M95" i="4"/>
  <c r="L95" i="4"/>
  <c r="K95" i="4"/>
  <c r="J95" i="4"/>
  <c r="O94" i="4"/>
  <c r="N94" i="4"/>
  <c r="M94" i="4"/>
  <c r="L94" i="4"/>
  <c r="K94" i="4"/>
  <c r="J94" i="4"/>
  <c r="O93" i="4"/>
  <c r="N93" i="4"/>
  <c r="M93" i="4"/>
  <c r="L93" i="4"/>
  <c r="K93" i="4"/>
  <c r="J93" i="4"/>
  <c r="O92" i="4"/>
  <c r="N92" i="4"/>
  <c r="M92" i="4"/>
  <c r="L92" i="4"/>
  <c r="K92" i="4"/>
  <c r="J92" i="4"/>
  <c r="O91" i="4"/>
  <c r="N91" i="4"/>
  <c r="M91" i="4"/>
  <c r="L91" i="4"/>
  <c r="K91" i="4"/>
  <c r="J91" i="4"/>
  <c r="O90" i="4"/>
  <c r="N90" i="4"/>
  <c r="M90" i="4"/>
  <c r="L90" i="4"/>
  <c r="K90" i="4"/>
  <c r="J90" i="4"/>
  <c r="O89" i="4"/>
  <c r="N89" i="4"/>
  <c r="M89" i="4"/>
  <c r="L89" i="4"/>
  <c r="K89" i="4"/>
  <c r="J89" i="4"/>
  <c r="O88" i="4"/>
  <c r="N88" i="4"/>
  <c r="M88" i="4"/>
  <c r="L88" i="4"/>
  <c r="K88" i="4"/>
  <c r="J88" i="4"/>
  <c r="O87" i="4"/>
  <c r="N87" i="4"/>
  <c r="M87" i="4"/>
  <c r="L87" i="4"/>
  <c r="K87" i="4"/>
  <c r="J87" i="4"/>
  <c r="O86" i="4"/>
  <c r="N86" i="4"/>
  <c r="M86" i="4"/>
  <c r="L86" i="4"/>
  <c r="K86" i="4"/>
  <c r="J86" i="4"/>
  <c r="O85" i="4"/>
  <c r="N85" i="4"/>
  <c r="M85" i="4"/>
  <c r="L85" i="4"/>
  <c r="K85" i="4"/>
  <c r="J85" i="4"/>
  <c r="O84" i="4"/>
  <c r="N84" i="4"/>
  <c r="M84" i="4"/>
  <c r="L84" i="4"/>
  <c r="K84" i="4"/>
  <c r="J84" i="4"/>
  <c r="O83" i="4"/>
  <c r="N83" i="4"/>
  <c r="M83" i="4"/>
  <c r="L83" i="4"/>
  <c r="K83" i="4"/>
  <c r="J83" i="4"/>
  <c r="O82" i="4"/>
  <c r="N82" i="4"/>
  <c r="M82" i="4"/>
  <c r="L82" i="4"/>
  <c r="K82" i="4"/>
  <c r="J82" i="4"/>
  <c r="O81" i="4"/>
  <c r="N81" i="4"/>
  <c r="M81" i="4"/>
  <c r="L81" i="4"/>
  <c r="K81" i="4"/>
  <c r="J81" i="4"/>
  <c r="O80" i="4"/>
  <c r="N80" i="4"/>
  <c r="M80" i="4"/>
  <c r="L80" i="4"/>
  <c r="K80" i="4"/>
  <c r="J80" i="4"/>
  <c r="O79" i="4"/>
  <c r="N79" i="4"/>
  <c r="M79" i="4"/>
  <c r="L79" i="4"/>
  <c r="K79" i="4"/>
  <c r="J79" i="4"/>
  <c r="O78" i="4"/>
  <c r="N78" i="4"/>
  <c r="M78" i="4"/>
  <c r="L78" i="4"/>
  <c r="K78" i="4"/>
  <c r="J78" i="4"/>
  <c r="O77" i="4"/>
  <c r="N77" i="4"/>
  <c r="M77" i="4"/>
  <c r="L77" i="4"/>
  <c r="K77" i="4"/>
  <c r="J77" i="4"/>
  <c r="O76" i="4"/>
  <c r="N76" i="4"/>
  <c r="M76" i="4"/>
  <c r="L76" i="4"/>
  <c r="K76" i="4"/>
  <c r="J76" i="4"/>
  <c r="O75" i="4"/>
  <c r="N75" i="4"/>
  <c r="M75" i="4"/>
  <c r="L75" i="4"/>
  <c r="K75" i="4"/>
  <c r="J75" i="4"/>
  <c r="O74" i="4"/>
  <c r="N74" i="4"/>
  <c r="M74" i="4"/>
  <c r="L74" i="4"/>
  <c r="K74" i="4"/>
  <c r="J74" i="4"/>
  <c r="O73" i="4"/>
  <c r="N73" i="4"/>
  <c r="M73" i="4"/>
  <c r="L73" i="4"/>
  <c r="K73" i="4"/>
  <c r="J73" i="4"/>
  <c r="O72" i="4"/>
  <c r="N72" i="4"/>
  <c r="M72" i="4"/>
  <c r="L72" i="4"/>
  <c r="K72" i="4"/>
  <c r="J72" i="4"/>
  <c r="O71" i="4"/>
  <c r="N71" i="4"/>
  <c r="M71" i="4"/>
  <c r="L71" i="4"/>
  <c r="K71" i="4"/>
  <c r="J71" i="4"/>
  <c r="O70" i="4"/>
  <c r="N70" i="4"/>
  <c r="M70" i="4"/>
  <c r="L70" i="4"/>
  <c r="K70" i="4"/>
  <c r="J70" i="4"/>
  <c r="O69" i="4"/>
  <c r="N69" i="4"/>
  <c r="M69" i="4"/>
  <c r="L69" i="4"/>
  <c r="K69" i="4"/>
  <c r="J69" i="4"/>
  <c r="O68" i="4"/>
  <c r="N68" i="4"/>
  <c r="M68" i="4"/>
  <c r="L68" i="4"/>
  <c r="K68" i="4"/>
  <c r="J68" i="4"/>
  <c r="O67" i="4"/>
  <c r="N67" i="4"/>
  <c r="M67" i="4"/>
  <c r="L67" i="4"/>
  <c r="K67" i="4"/>
  <c r="J67" i="4"/>
  <c r="O66" i="4"/>
  <c r="N66" i="4"/>
  <c r="M66" i="4"/>
  <c r="L66" i="4"/>
  <c r="K66" i="4"/>
  <c r="J66" i="4"/>
  <c r="O65" i="4"/>
  <c r="N65" i="4"/>
  <c r="M65" i="4"/>
  <c r="L65" i="4"/>
  <c r="K65" i="4"/>
  <c r="J65" i="4"/>
  <c r="O64" i="4"/>
  <c r="N64" i="4"/>
  <c r="M64" i="4"/>
  <c r="L64" i="4"/>
  <c r="K64" i="4"/>
  <c r="J64" i="4"/>
  <c r="O63" i="4"/>
  <c r="N63" i="4"/>
  <c r="M63" i="4"/>
  <c r="L63" i="4"/>
  <c r="K63" i="4"/>
  <c r="J63" i="4"/>
  <c r="O62" i="4"/>
  <c r="N62" i="4"/>
  <c r="M62" i="4"/>
  <c r="L62" i="4"/>
  <c r="K62" i="4"/>
  <c r="J62" i="4"/>
  <c r="O61" i="4"/>
  <c r="N61" i="4"/>
  <c r="M61" i="4"/>
  <c r="L61" i="4"/>
  <c r="K61" i="4"/>
  <c r="J61" i="4"/>
  <c r="O60" i="4"/>
  <c r="N60" i="4"/>
  <c r="M60" i="4"/>
  <c r="L60" i="4"/>
  <c r="K60" i="4"/>
  <c r="J60" i="4"/>
  <c r="O59" i="4"/>
  <c r="N59" i="4"/>
  <c r="M59" i="4"/>
  <c r="L59" i="4"/>
  <c r="K59" i="4"/>
  <c r="J59" i="4"/>
  <c r="O58" i="4"/>
  <c r="N58" i="4"/>
  <c r="M58" i="4"/>
  <c r="L58" i="4"/>
  <c r="K58" i="4"/>
  <c r="J58" i="4"/>
  <c r="O57" i="4"/>
  <c r="N57" i="4"/>
  <c r="M57" i="4"/>
  <c r="L57" i="4"/>
  <c r="K57" i="4"/>
  <c r="J57" i="4"/>
  <c r="O56" i="4"/>
  <c r="N56" i="4"/>
  <c r="M56" i="4"/>
  <c r="L56" i="4"/>
  <c r="K56" i="4"/>
  <c r="J56" i="4"/>
  <c r="O55" i="4"/>
  <c r="N55" i="4"/>
  <c r="M55" i="4"/>
  <c r="L55" i="4"/>
  <c r="K55" i="4"/>
  <c r="J55" i="4"/>
  <c r="O54" i="4"/>
  <c r="N54" i="4"/>
  <c r="M54" i="4"/>
  <c r="L54" i="4"/>
  <c r="K54" i="4"/>
  <c r="J54" i="4"/>
  <c r="O53" i="4"/>
  <c r="N53" i="4"/>
  <c r="M53" i="4"/>
  <c r="L53" i="4"/>
  <c r="K53" i="4"/>
  <c r="J53" i="4"/>
  <c r="O52" i="4"/>
  <c r="N52" i="4"/>
  <c r="M52" i="4"/>
  <c r="L52" i="4"/>
  <c r="K52" i="4"/>
  <c r="J52" i="4"/>
  <c r="O51" i="4"/>
  <c r="N51" i="4"/>
  <c r="M51" i="4"/>
  <c r="L51" i="4"/>
  <c r="K51" i="4"/>
  <c r="J51" i="4"/>
  <c r="O50" i="4"/>
  <c r="N50" i="4"/>
  <c r="M50" i="4"/>
  <c r="L50" i="4"/>
  <c r="K50" i="4"/>
  <c r="J50" i="4"/>
  <c r="O49" i="4"/>
  <c r="N49" i="4"/>
  <c r="M49" i="4"/>
  <c r="L49" i="4"/>
  <c r="K49" i="4"/>
  <c r="J49" i="4"/>
  <c r="O48" i="4"/>
  <c r="N48" i="4"/>
  <c r="M48" i="4"/>
  <c r="L48" i="4"/>
  <c r="K48" i="4"/>
  <c r="J48" i="4"/>
  <c r="O47" i="4"/>
  <c r="N47" i="4"/>
  <c r="M47" i="4"/>
  <c r="L47" i="4"/>
  <c r="K47" i="4"/>
  <c r="J47" i="4"/>
  <c r="O46" i="4"/>
  <c r="N46" i="4"/>
  <c r="M46" i="4"/>
  <c r="L46" i="4"/>
  <c r="K46" i="4"/>
  <c r="J46" i="4"/>
  <c r="O45" i="4"/>
  <c r="N45" i="4"/>
  <c r="M45" i="4"/>
  <c r="L45" i="4"/>
  <c r="K45" i="4"/>
  <c r="J45" i="4"/>
  <c r="O44" i="4"/>
  <c r="N44" i="4"/>
  <c r="M44" i="4"/>
  <c r="L44" i="4"/>
  <c r="K44" i="4"/>
  <c r="J44" i="4"/>
  <c r="O43" i="4"/>
  <c r="N43" i="4"/>
  <c r="M43" i="4"/>
  <c r="L43" i="4"/>
  <c r="K43" i="4"/>
  <c r="J43" i="4"/>
  <c r="O42" i="4"/>
  <c r="N42" i="4"/>
  <c r="M42" i="4"/>
  <c r="L42" i="4"/>
  <c r="K42" i="4"/>
  <c r="J42" i="4"/>
  <c r="O41" i="4"/>
  <c r="N41" i="4"/>
  <c r="M41" i="4"/>
  <c r="L41" i="4"/>
  <c r="K41" i="4"/>
  <c r="J41" i="4"/>
  <c r="O40" i="4"/>
  <c r="N40" i="4"/>
  <c r="M40" i="4"/>
  <c r="L40" i="4"/>
  <c r="K40" i="4"/>
  <c r="J40" i="4"/>
  <c r="O39" i="4"/>
  <c r="N39" i="4"/>
  <c r="M39" i="4"/>
  <c r="L39" i="4"/>
  <c r="K39" i="4"/>
  <c r="J39" i="4"/>
  <c r="O38" i="4"/>
  <c r="N38" i="4"/>
  <c r="M38" i="4"/>
  <c r="L38" i="4"/>
  <c r="K38" i="4"/>
  <c r="J38" i="4"/>
  <c r="O37" i="4"/>
  <c r="N37" i="4"/>
  <c r="M37" i="4"/>
  <c r="L37" i="4"/>
  <c r="K37" i="4"/>
  <c r="J37" i="4"/>
  <c r="O36" i="4"/>
  <c r="N36" i="4"/>
  <c r="M36" i="4"/>
  <c r="L36" i="4"/>
  <c r="K36" i="4"/>
  <c r="J36" i="4"/>
  <c r="O35" i="4"/>
  <c r="N35" i="4"/>
  <c r="M35" i="4"/>
  <c r="L35" i="4"/>
  <c r="K35" i="4"/>
  <c r="J35" i="4"/>
  <c r="O34" i="4"/>
  <c r="N34" i="4"/>
  <c r="M34" i="4"/>
  <c r="L34" i="4"/>
  <c r="K34" i="4"/>
  <c r="J34" i="4"/>
  <c r="O33" i="4"/>
  <c r="N33" i="4"/>
  <c r="M33" i="4"/>
  <c r="L33" i="4"/>
  <c r="K33" i="4"/>
  <c r="J33" i="4"/>
  <c r="O32" i="4"/>
  <c r="N32" i="4"/>
  <c r="M32" i="4"/>
  <c r="L32" i="4"/>
  <c r="K32" i="4"/>
  <c r="J32" i="4"/>
  <c r="O31" i="4"/>
  <c r="N31" i="4"/>
  <c r="M31" i="4"/>
  <c r="L31" i="4"/>
  <c r="K31" i="4"/>
  <c r="J31" i="4"/>
  <c r="O30" i="4"/>
  <c r="N30" i="4"/>
  <c r="M30" i="4"/>
  <c r="L30" i="4"/>
  <c r="K30" i="4"/>
  <c r="J30" i="4"/>
  <c r="O29" i="4"/>
  <c r="N29" i="4"/>
  <c r="M29" i="4"/>
  <c r="L29" i="4"/>
  <c r="K29" i="4"/>
  <c r="J29" i="4"/>
  <c r="O28" i="4"/>
  <c r="N28" i="4"/>
  <c r="M28" i="4"/>
  <c r="L28" i="4"/>
  <c r="K28" i="4"/>
  <c r="J28" i="4"/>
  <c r="O27" i="4"/>
  <c r="N27" i="4"/>
  <c r="M27" i="4"/>
  <c r="L27" i="4"/>
  <c r="K27" i="4"/>
  <c r="J27" i="4"/>
  <c r="O26" i="4"/>
  <c r="N26" i="4"/>
  <c r="M26" i="4"/>
  <c r="L26" i="4"/>
  <c r="K26" i="4"/>
  <c r="J26" i="4"/>
  <c r="O25" i="4"/>
  <c r="N25" i="4"/>
  <c r="M25" i="4"/>
  <c r="L25" i="4"/>
  <c r="K25" i="4"/>
  <c r="J25" i="4"/>
  <c r="O24" i="4"/>
  <c r="N24" i="4"/>
  <c r="M24" i="4"/>
  <c r="L24" i="4"/>
  <c r="K24" i="4"/>
  <c r="J24" i="4"/>
  <c r="O23" i="4"/>
  <c r="N23" i="4"/>
  <c r="M23" i="4"/>
  <c r="L23" i="4"/>
  <c r="K23" i="4"/>
  <c r="J23" i="4"/>
  <c r="O22" i="4"/>
  <c r="N22" i="4"/>
  <c r="M22" i="4"/>
  <c r="L22" i="4"/>
  <c r="K22" i="4"/>
  <c r="J22" i="4"/>
  <c r="O21" i="4"/>
  <c r="N21" i="4"/>
  <c r="M21" i="4"/>
  <c r="L21" i="4"/>
  <c r="K21" i="4"/>
  <c r="J21" i="4"/>
  <c r="O20" i="4"/>
  <c r="N20" i="4"/>
  <c r="M20" i="4"/>
  <c r="L20" i="4"/>
  <c r="K20" i="4"/>
  <c r="J20" i="4"/>
  <c r="O19" i="4"/>
  <c r="N19" i="4"/>
  <c r="M19" i="4"/>
  <c r="L19" i="4"/>
  <c r="K19" i="4"/>
  <c r="J19" i="4"/>
  <c r="O18" i="4"/>
  <c r="N18" i="4"/>
  <c r="M18" i="4"/>
  <c r="L18" i="4"/>
  <c r="K18" i="4"/>
  <c r="J18" i="4"/>
  <c r="O17" i="4"/>
  <c r="N17" i="4"/>
  <c r="M17" i="4"/>
  <c r="L17" i="4"/>
  <c r="K17" i="4"/>
  <c r="J17" i="4"/>
  <c r="O16" i="4"/>
  <c r="N16" i="4"/>
  <c r="M16" i="4"/>
  <c r="L16" i="4"/>
  <c r="K16" i="4"/>
  <c r="J16" i="4"/>
  <c r="O15" i="4"/>
  <c r="N15" i="4"/>
  <c r="M15" i="4"/>
  <c r="L15" i="4"/>
  <c r="K15" i="4"/>
  <c r="J15" i="4"/>
  <c r="O14" i="4"/>
  <c r="N14" i="4"/>
  <c r="M14" i="4"/>
  <c r="L14" i="4"/>
  <c r="K14" i="4"/>
  <c r="J14" i="4"/>
  <c r="O13" i="4"/>
  <c r="N13" i="4"/>
  <c r="M13" i="4"/>
  <c r="L13" i="4"/>
  <c r="K13" i="4"/>
  <c r="J13" i="4"/>
  <c r="O12" i="4"/>
  <c r="N12" i="4"/>
  <c r="M12" i="4"/>
  <c r="L12" i="4"/>
  <c r="K12" i="4"/>
  <c r="J12" i="4"/>
  <c r="O11" i="4"/>
  <c r="N11" i="4"/>
  <c r="M11" i="4"/>
  <c r="L11" i="4"/>
  <c r="K11" i="4"/>
  <c r="J11" i="4"/>
</calcChain>
</file>

<file path=xl/sharedStrings.xml><?xml version="1.0" encoding="utf-8"?>
<sst xmlns="http://schemas.openxmlformats.org/spreadsheetml/2006/main" count="1992" uniqueCount="325">
  <si>
    <t>GLOBAL DATABASES</t>
  </si>
  <si>
    <t>[data.unicef.org]</t>
  </si>
  <si>
    <t>Justification of wife-beating among adolescents</t>
  </si>
  <si>
    <t>Countries and areas</t>
  </si>
  <si>
    <t>Source</t>
  </si>
  <si>
    <t>Afghanistan</t>
  </si>
  <si>
    <t>y</t>
  </si>
  <si>
    <t>DHS 2015</t>
  </si>
  <si>
    <t>Albania</t>
  </si>
  <si>
    <t>DHS 2017-18</t>
  </si>
  <si>
    <t>Algeria</t>
  </si>
  <si>
    <t>-</t>
  </si>
  <si>
    <t>MICS 2018-19</t>
  </si>
  <si>
    <t>Angola</t>
  </si>
  <si>
    <t>DHS 2015-16</t>
  </si>
  <si>
    <t>Andorra</t>
  </si>
  <si>
    <t>Armenia</t>
  </si>
  <si>
    <t>Belarus</t>
  </si>
  <si>
    <t>MICS 2019</t>
  </si>
  <si>
    <t>Argentina</t>
  </si>
  <si>
    <t>MICS 2011-12</t>
  </si>
  <si>
    <t>Anguilla</t>
  </si>
  <si>
    <t>Belize</t>
  </si>
  <si>
    <t>MICS 2015</t>
  </si>
  <si>
    <t>Antigua and Barbuda</t>
  </si>
  <si>
    <t>Benin</t>
  </si>
  <si>
    <t>Azerbaijan</t>
  </si>
  <si>
    <t>DHS 2011</t>
  </si>
  <si>
    <t>x</t>
  </si>
  <si>
    <t>Bosnia and Herzegovina</t>
  </si>
  <si>
    <t>Bangladesh</t>
  </si>
  <si>
    <t>Burkina Faso</t>
  </si>
  <si>
    <t>Barbados</t>
  </si>
  <si>
    <t>MICS 2012</t>
  </si>
  <si>
    <t>Australia</t>
  </si>
  <si>
    <t>Burundi</t>
  </si>
  <si>
    <t>DHS 2016-17</t>
  </si>
  <si>
    <t>Austria</t>
  </si>
  <si>
    <t>Cabo Verde</t>
  </si>
  <si>
    <t>Cambodia</t>
  </si>
  <si>
    <t>DHS 2014</t>
  </si>
  <si>
    <t>Bahamas</t>
  </si>
  <si>
    <t>Cameroon</t>
  </si>
  <si>
    <t>DHS 2018</t>
  </si>
  <si>
    <t>Bhutan</t>
  </si>
  <si>
    <t>MICS 2010</t>
  </si>
  <si>
    <t>Bahrain</t>
  </si>
  <si>
    <t>Central African Republic</t>
  </si>
  <si>
    <t>Bolivia (Plurinational State of)</t>
  </si>
  <si>
    <t>EPCVcM 2016</t>
  </si>
  <si>
    <t>Colombia</t>
  </si>
  <si>
    <t>Comoros</t>
  </si>
  <si>
    <t>DHS 2012</t>
  </si>
  <si>
    <t>Congo</t>
  </si>
  <si>
    <t>MICS 2014-15</t>
  </si>
  <si>
    <t>Belgium</t>
  </si>
  <si>
    <t>Côte d'Ivoire</t>
  </si>
  <si>
    <t>MICS 2016</t>
  </si>
  <si>
    <t>Cuba</t>
  </si>
  <si>
    <t>Democratic People's Republic of Korea</t>
  </si>
  <si>
    <t>MICS 2017</t>
  </si>
  <si>
    <t>Democratic Republic of the Congo</t>
  </si>
  <si>
    <t>MICS 2017-18</t>
  </si>
  <si>
    <t>Equatorial Guinea</t>
  </si>
  <si>
    <t>Chad</t>
  </si>
  <si>
    <t>Eritrea</t>
  </si>
  <si>
    <t>PHS 2010</t>
  </si>
  <si>
    <t>Botswana</t>
  </si>
  <si>
    <t>Eswatini</t>
  </si>
  <si>
    <t>MICS 2014</t>
  </si>
  <si>
    <t>Brazil</t>
  </si>
  <si>
    <t>Ethiopia</t>
  </si>
  <si>
    <t>DHS 2016</t>
  </si>
  <si>
    <t>British Virgin Islands</t>
  </si>
  <si>
    <t>Gabon</t>
  </si>
  <si>
    <t>Costa Rica</t>
  </si>
  <si>
    <t>EMNA/MICS 2018</t>
  </si>
  <si>
    <t>Brunei Darussalam</t>
  </si>
  <si>
    <t>Gambia</t>
  </si>
  <si>
    <t>DHS 2019-20</t>
  </si>
  <si>
    <t>Bulgaria</t>
  </si>
  <si>
    <t>Ghana</t>
  </si>
  <si>
    <t>Guatemala</t>
  </si>
  <si>
    <t>ENSMI 2014-15</t>
  </si>
  <si>
    <t>Guinea</t>
  </si>
  <si>
    <t>Guinea-Bissau</t>
  </si>
  <si>
    <t>Dominican Republic</t>
  </si>
  <si>
    <t>Guyana</t>
  </si>
  <si>
    <t>Egypt</t>
  </si>
  <si>
    <t>Haiti</t>
  </si>
  <si>
    <t>El Salvador</t>
  </si>
  <si>
    <t>ENS/MICS 2014</t>
  </si>
  <si>
    <t>Canada</t>
  </si>
  <si>
    <t>Honduras</t>
  </si>
  <si>
    <t>DHS 2011-12</t>
  </si>
  <si>
    <t>India</t>
  </si>
  <si>
    <t>NFHS 2015-16</t>
  </si>
  <si>
    <t>Indonesia</t>
  </si>
  <si>
    <t>DHS 2017</t>
  </si>
  <si>
    <t>Chile</t>
  </si>
  <si>
    <t>Jordan</t>
  </si>
  <si>
    <t>China</t>
  </si>
  <si>
    <t>Kenya</t>
  </si>
  <si>
    <t>Kiribati</t>
  </si>
  <si>
    <t>Lao People's Democratic Republic</t>
  </si>
  <si>
    <t>Georgia</t>
  </si>
  <si>
    <t>Lesotho</t>
  </si>
  <si>
    <t>MICS 2018</t>
  </si>
  <si>
    <t>Cook Islands</t>
  </si>
  <si>
    <t>Liberia</t>
  </si>
  <si>
    <t>Madagascar</t>
  </si>
  <si>
    <t>MICS 2011</t>
  </si>
  <si>
    <t>Malawi</t>
  </si>
  <si>
    <t>Croatia</t>
  </si>
  <si>
    <t>Maldives</t>
  </si>
  <si>
    <t>Mali</t>
  </si>
  <si>
    <t>Cyprus</t>
  </si>
  <si>
    <t>Marshall Islands</t>
  </si>
  <si>
    <t>DHS 2007</t>
  </si>
  <si>
    <t>Czechia</t>
  </si>
  <si>
    <t>Mauritania</t>
  </si>
  <si>
    <t>Mongolia</t>
  </si>
  <si>
    <t>Montenegro</t>
  </si>
  <si>
    <t>Iraq</t>
  </si>
  <si>
    <t>Denmark</t>
  </si>
  <si>
    <t>Mozambique</t>
  </si>
  <si>
    <t>AIS 2015</t>
  </si>
  <si>
    <t>Jamaica</t>
  </si>
  <si>
    <t>Women's Health Survey 2016</t>
  </si>
  <si>
    <t>Djibouti</t>
  </si>
  <si>
    <t>Myanmar</t>
  </si>
  <si>
    <t>Dominica</t>
  </si>
  <si>
    <t>Namibia</t>
  </si>
  <si>
    <t>DHS 2013</t>
  </si>
  <si>
    <t>Kazakhstan</t>
  </si>
  <si>
    <t>Nepal</t>
  </si>
  <si>
    <t>Ecuador</t>
  </si>
  <si>
    <t>Niger</t>
  </si>
  <si>
    <t>Nigeria</t>
  </si>
  <si>
    <t>Kyrgyzstan</t>
  </si>
  <si>
    <t>Pakistan</t>
  </si>
  <si>
    <t>Papua New Guinea</t>
  </si>
  <si>
    <t>DHS 2016-18</t>
  </si>
  <si>
    <t>Lebanon</t>
  </si>
  <si>
    <t>Qatar</t>
  </si>
  <si>
    <t>Estonia</t>
  </si>
  <si>
    <t>Republic of Moldova</t>
  </si>
  <si>
    <t>Rwanda</t>
  </si>
  <si>
    <t>Samoa</t>
  </si>
  <si>
    <t>Fiji</t>
  </si>
  <si>
    <t>Sao Tome and Principe</t>
  </si>
  <si>
    <t>Finland</t>
  </si>
  <si>
    <t>Senegal</t>
  </si>
  <si>
    <t>Continuous DHS 2019</t>
  </si>
  <si>
    <t>France</t>
  </si>
  <si>
    <t>Sierra Leone</t>
  </si>
  <si>
    <t>Solomon Islands</t>
  </si>
  <si>
    <t>South Africa</t>
  </si>
  <si>
    <t>Mexico</t>
  </si>
  <si>
    <t>Suriname</t>
  </si>
  <si>
    <t>Germany</t>
  </si>
  <si>
    <t>Thailand</t>
  </si>
  <si>
    <t>Timor-Leste</t>
  </si>
  <si>
    <t>Morocco</t>
  </si>
  <si>
    <t>DHS 2003-04</t>
  </si>
  <si>
    <t>Greece</t>
  </si>
  <si>
    <t>Togo</t>
  </si>
  <si>
    <t>Grenada</t>
  </si>
  <si>
    <t>Tonga</t>
  </si>
  <si>
    <t>Tunisia</t>
  </si>
  <si>
    <t>Tuvalu</t>
  </si>
  <si>
    <t>Uganda</t>
  </si>
  <si>
    <t>Nicaragua</t>
  </si>
  <si>
    <t>Ukraine</t>
  </si>
  <si>
    <t>United Republic of Tanzania</t>
  </si>
  <si>
    <t>Holy See</t>
  </si>
  <si>
    <t>Vanuatu</t>
  </si>
  <si>
    <t>North Macedonia</t>
  </si>
  <si>
    <t>Zambia</t>
  </si>
  <si>
    <t>Oman</t>
  </si>
  <si>
    <t>Hungary</t>
  </si>
  <si>
    <t>Zimbabwe</t>
  </si>
  <si>
    <t>Iceland</t>
  </si>
  <si>
    <t>Panama</t>
  </si>
  <si>
    <t>MICS 2013</t>
  </si>
  <si>
    <t>Sub-Saharan Africa</t>
  </si>
  <si>
    <t>Paraguay</t>
  </si>
  <si>
    <t>Iran (Islamic Republic of)</t>
  </si>
  <si>
    <t>Philippines</t>
  </si>
  <si>
    <t>Middle East and North Africa</t>
  </si>
  <si>
    <t>Ireland</t>
  </si>
  <si>
    <t>South Asia</t>
  </si>
  <si>
    <t>Israel</t>
  </si>
  <si>
    <t>East Asia and Pacific</t>
  </si>
  <si>
    <t>Italy</t>
  </si>
  <si>
    <t>Latin America and Caribbean</t>
  </si>
  <si>
    <t>Saint Lucia</t>
  </si>
  <si>
    <t>Europe and Central Asia</t>
  </si>
  <si>
    <t>Japan</t>
  </si>
  <si>
    <t>North America</t>
  </si>
  <si>
    <t>Serbia</t>
  </si>
  <si>
    <t>Least developed countries</t>
  </si>
  <si>
    <t>World</t>
  </si>
  <si>
    <t>Kuwait</t>
  </si>
  <si>
    <t>Somalia</t>
  </si>
  <si>
    <t>South Sudan</t>
  </si>
  <si>
    <t>SHHS 2010</t>
  </si>
  <si>
    <t>Latvia</t>
  </si>
  <si>
    <t>Sri Lanka</t>
  </si>
  <si>
    <t>x,y</t>
  </si>
  <si>
    <t>State of Palestine</t>
  </si>
  <si>
    <t>MICS 2019-20</t>
  </si>
  <si>
    <t>Sudan</t>
  </si>
  <si>
    <t>Libya</t>
  </si>
  <si>
    <t>Tajikistan</t>
  </si>
  <si>
    <t>Liechtenstein</t>
  </si>
  <si>
    <t>Lithuania</t>
  </si>
  <si>
    <t>Luxembourg</t>
  </si>
  <si>
    <t>Trinidad and Tobago</t>
  </si>
  <si>
    <t>Malaysia</t>
  </si>
  <si>
    <t>Turkmenistan</t>
  </si>
  <si>
    <t>Malta</t>
  </si>
  <si>
    <t>Mauritius</t>
  </si>
  <si>
    <t>Uruguay</t>
  </si>
  <si>
    <t>Micronesia (Federated States of)</t>
  </si>
  <si>
    <t>Uzbekistan</t>
  </si>
  <si>
    <t>Monaco</t>
  </si>
  <si>
    <t>Viet Nam</t>
  </si>
  <si>
    <t>Yemen</t>
  </si>
  <si>
    <t>Montserrat</t>
  </si>
  <si>
    <t>Nauru</t>
  </si>
  <si>
    <t>New Zealand</t>
  </si>
  <si>
    <t>Niue</t>
  </si>
  <si>
    <t>Norway</t>
  </si>
  <si>
    <t>y,p</t>
  </si>
  <si>
    <t>Palau</t>
  </si>
  <si>
    <t>Peru</t>
  </si>
  <si>
    <t>Poland</t>
  </si>
  <si>
    <t>Portugal</t>
  </si>
  <si>
    <t>Republic of Korea</t>
  </si>
  <si>
    <t>Romania</t>
  </si>
  <si>
    <t>Russian Federation</t>
  </si>
  <si>
    <t>Saint Kitts and Nevis</t>
  </si>
  <si>
    <t>Saint Vincent and the Grenadines</t>
  </si>
  <si>
    <t>San Marino</t>
  </si>
  <si>
    <t>Saudi Arabia</t>
  </si>
  <si>
    <t>Seychelles</t>
  </si>
  <si>
    <t>Singapore</t>
  </si>
  <si>
    <t>Slovakia</t>
  </si>
  <si>
    <t>Slovenia</t>
  </si>
  <si>
    <t>Spain</t>
  </si>
  <si>
    <t>Sweden</t>
  </si>
  <si>
    <t>Switzerland</t>
  </si>
  <si>
    <t>Syrian Arab Republic</t>
  </si>
  <si>
    <t>Tokelau</t>
  </si>
  <si>
    <t>Turks and Caicos Islands</t>
  </si>
  <si>
    <t>United Arab Emirates</t>
  </si>
  <si>
    <t>United Kingdom</t>
  </si>
  <si>
    <t>United States</t>
  </si>
  <si>
    <t>Venezuela (Bolivarian Republic of)</t>
  </si>
  <si>
    <t>SUMMARY</t>
  </si>
  <si>
    <t>Notes:</t>
  </si>
  <si>
    <t>– Data not available</t>
  </si>
  <si>
    <t>p Based on small denominators (typically 25–49 unweighted cases). No data based on fewer than 25 unweighted cases are displayed.</t>
  </si>
  <si>
    <t xml:space="preserve">x Data refer to years or periods other than those specified in the column heading. Such data are not included in the calculation of regional and global averages.  </t>
  </si>
  <si>
    <t>y Data differ from the standard definition or refer to only part of a country. If they fall within the noted reference period, such data are included in the calculation of regional and global averages.</t>
  </si>
  <si>
    <t>* Data refer to the most recent year available during the period specified in the column heading.</t>
  </si>
  <si>
    <t xml:space="preserve">Indicator definition: </t>
  </si>
  <si>
    <t>Percentage of girls and boys 15–19 years old who consider a husband to be justified in hitting or beating his wife for at least one of the specified reasons, i.e., if his wife burns the food, argues with him, goes out without telling him, neglects the children or refuses sexual relations.</t>
  </si>
  <si>
    <t xml:space="preserve">Source: </t>
  </si>
  <si>
    <t>Prepared by the Data and Analytics Section; Division of Data, Analytics, Planning and Monitoring, UNICEF</t>
  </si>
  <si>
    <t xml:space="preserve">Contact us:  </t>
  </si>
  <si>
    <t>data@unicef.org</t>
  </si>
  <si>
    <t xml:space="preserve">   West and Central Africa</t>
  </si>
  <si>
    <t xml:space="preserve">   Western Europe</t>
  </si>
  <si>
    <t>DHS 2006</t>
  </si>
  <si>
    <t>DHS 2014-15</t>
  </si>
  <si>
    <t>RHS 2008</t>
  </si>
  <si>
    <t>MICS 2010-11</t>
  </si>
  <si>
    <t>MICS 2015-16</t>
  </si>
  <si>
    <t>National survey on sexual and reproductive health (ENASSER) 2014-2015</t>
  </si>
  <si>
    <t>WWS 2019</t>
  </si>
  <si>
    <t>p</t>
  </si>
  <si>
    <r>
      <rPr>
        <i/>
        <sz val="11"/>
        <rFont val="Arial Narrow"/>
        <family val="2"/>
      </rPr>
      <t>Italicized data</t>
    </r>
    <r>
      <rPr>
        <sz val="11"/>
        <rFont val="Arial Narrow"/>
        <family val="2"/>
      </rPr>
      <t xml:space="preserve"> are from older sources than data presented for other indicators on the same topic within this table. Such discrepancies may be due to an indicator being unavailable in the latest data source, or to the databases for each indicator having been updated as of different dates.</t>
    </r>
  </si>
  <si>
    <t>Last update: May 2023</t>
  </si>
  <si>
    <t>Justification of wife-beating among adolescents (%)</t>
  </si>
  <si>
    <t>Netherlands (Kingdom of the)</t>
  </si>
  <si>
    <t>Türkiye</t>
  </si>
  <si>
    <t>EMDS 2015</t>
  </si>
  <si>
    <t>EVFF 2019</t>
  </si>
  <si>
    <t>MICS 2021</t>
  </si>
  <si>
    <t>NFHS 2019-21</t>
  </si>
  <si>
    <t>DHS 2021</t>
  </si>
  <si>
    <t>DHS 2019-21</t>
  </si>
  <si>
    <t>ENAFEME 2021</t>
  </si>
  <si>
    <t>SHDS 2020</t>
  </si>
  <si>
    <t>MICS 2021-22</t>
  </si>
  <si>
    <t>MICS 2020-21</t>
  </si>
  <si>
    <t>DHS, MICS and other national surveys</t>
  </si>
  <si>
    <t>UNICEF global databases, 2023, based on DHS, MICS and other national surveys.</t>
  </si>
  <si>
    <t>Male
(2015-2021)*</t>
  </si>
  <si>
    <t>Female
(2015-2022)*</t>
  </si>
  <si>
    <t>DHS 2021-22</t>
  </si>
  <si>
    <t>MICS 2022</t>
  </si>
  <si>
    <t>EFHS 2021</t>
  </si>
  <si>
    <t>DHS 2022</t>
  </si>
  <si>
    <t>Kosovo under UNSC res. 1244</t>
  </si>
  <si>
    <t>Eastern and Southern Africa</t>
  </si>
  <si>
    <t>Eastern Europe and Central Asia</t>
  </si>
  <si>
    <t>x,i</t>
  </si>
  <si>
    <t>i</t>
  </si>
  <si>
    <t>x,y,i</t>
  </si>
  <si>
    <t>Men’s Life Experiences Survey - National Study on VAW 2022</t>
  </si>
  <si>
    <t>DHS 2023</t>
  </si>
  <si>
    <t>MICS 2023</t>
  </si>
  <si>
    <t>DHS 2023-24</t>
  </si>
  <si>
    <t>DHS 2022-23</t>
  </si>
  <si>
    <t>Continuous DHS 2023</t>
  </si>
  <si>
    <t>NHS 2021</t>
  </si>
  <si>
    <t>Women’s Health and Life Experiences Survey - National Study on VAW 2022</t>
  </si>
  <si>
    <t>Last update: Mar 2025</t>
  </si>
  <si>
    <t>Male
(2015-2024)*</t>
  </si>
  <si>
    <t>Female
(2015-2024)*</t>
  </si>
  <si>
    <r>
      <t>i</t>
    </r>
    <r>
      <rPr>
        <i/>
        <sz val="11"/>
        <rFont val="Arial Narrow"/>
        <family val="2"/>
      </rPr>
      <t xml:space="preserve"> </t>
    </r>
    <r>
      <rPr>
        <sz val="11"/>
        <rFont val="Arial Narrow"/>
        <family val="2"/>
      </rPr>
      <t>Data are from older sources than data presented for other indicators on the same topic within this table. Such discrepancies may be due to an indicator being unavailable in the latest data source, or to the databases for each indicator having been updated as of different dates.</t>
    </r>
  </si>
  <si>
    <t>UNICEF global databases, 2025, based on DHS, MICS and other national surveys.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</si>
</sst>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15" x14ac:knownFonts="1">
    <font>
      <sz val="11"/>
      <color theme="1"/>
      <name val="Calibri"/>
      <family val="2"/>
      <scheme val="minor"/>
    </font>
    <font>
      <u/>
      <sz val="11"/>
      <color theme="10"/>
      <name val="Calibri"/>
      <family val="2"/>
      <scheme val="minor"/>
    </font>
    <font>
      <sz val="10"/>
      <name val="Arial"/>
      <family val="2"/>
    </font>
    <font>
      <sz val="12"/>
      <color theme="1"/>
      <name val="Times New Roman"/>
      <family val="2"/>
    </font>
    <font>
      <b/>
      <sz val="11"/>
      <color theme="1"/>
      <name val="Arial Narrow"/>
      <family val="2"/>
    </font>
    <font>
      <sz val="11"/>
      <color theme="1"/>
      <name val="Arial Narrow"/>
      <family val="2"/>
    </font>
    <font>
      <b/>
      <sz val="11"/>
      <name val="Arial Narrow"/>
      <family val="2"/>
    </font>
    <font>
      <b/>
      <sz val="14"/>
      <name val="Arial Narrow"/>
      <family val="2"/>
    </font>
    <font>
      <b/>
      <sz val="11"/>
      <color rgb="FF000000"/>
      <name val="Arial Narrow"/>
      <family val="2"/>
    </font>
    <font>
      <sz val="11"/>
      <name val="Arial Narrow"/>
      <family val="2"/>
    </font>
    <font>
      <b/>
      <u/>
      <sz val="11"/>
      <color theme="10"/>
      <name val="Arial Narrow"/>
      <family val="2"/>
    </font>
    <font>
      <b/>
      <sz val="11"/>
      <color rgb="FF00B0F0"/>
      <name val="Arial Narrow"/>
      <family val="2"/>
    </font>
    <font>
      <i/>
      <sz val="11"/>
      <color theme="1"/>
      <name val="Arial Narrow"/>
      <family val="2"/>
    </font>
    <font>
      <i/>
      <sz val="11"/>
      <name val="Arial Narrow"/>
      <family val="2"/>
    </font>
    <font>
      <sz val="11"/>
      <color theme="2"/>
      <name val="Arial Narrow"/>
      <family val="2"/>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0" fillId="0" borderId="0"/>
    <xf numFmtId="0" fontId="1" fillId="0" borderId="0" applyNumberFormat="0" applyFill="0" applyBorder="0" applyAlignment="0" applyProtection="0"/>
    <xf numFmtId="0" fontId="2" fillId="0" borderId="0"/>
    <xf numFmtId="0" fontId="2" fillId="0" borderId="0"/>
    <xf numFmtId="0" fontId="3" fillId="0" borderId="0"/>
  </cellStyleXfs>
  <cellXfs count="59">
    <xf numFmtId="0" fontId="0" fillId="0" borderId="0" xfId="0"/>
    <xf numFmtId="49" fontId="4" fillId="2" borderId="6" xfId="4" applyNumberFormat="1" applyFont="1" applyFill="1" applyBorder="1"/>
    <xf numFmtId="49" fontId="5" fillId="2" borderId="12" xfId="4" applyNumberFormat="1" applyFont="1" applyFill="1" applyBorder="1"/>
    <xf numFmtId="49" fontId="5" fillId="2" borderId="12" xfId="4" applyNumberFormat="1" applyFont="1" applyFill="1" applyBorder="1" applyAlignment="1">
      <alignment horizontal="left"/>
    </xf>
    <xf numFmtId="49" fontId="5" fillId="2" borderId="12" xfId="4" applyNumberFormat="1" applyFont="1" applyFill="1" applyBorder="1" applyAlignment="1">
      <alignment horizontal="left" indent="1"/>
    </xf>
    <xf numFmtId="49" fontId="4" fillId="2" borderId="9" xfId="4" applyNumberFormat="1" applyFont="1" applyFill="1" applyBorder="1"/>
    <xf numFmtId="0" fontId="6" fillId="2" borderId="0" xfId="0" applyFont="1" applyFill="1"/>
    <xf numFmtId="0" fontId="5" fillId="2" borderId="0" xfId="0" applyFont="1" applyFill="1"/>
    <xf numFmtId="0" fontId="5" fillId="2" borderId="0" xfId="0" applyFont="1" applyFill="1" applyAlignment="1">
      <alignment horizontal="right"/>
    </xf>
    <xf numFmtId="0" fontId="5" fillId="2" borderId="0" xfId="0" applyFont="1" applyFill="1" applyAlignment="1">
      <alignment horizontal="left"/>
    </xf>
    <xf numFmtId="0" fontId="5" fillId="2" borderId="4" xfId="0" applyFont="1" applyFill="1" applyBorder="1"/>
    <xf numFmtId="49" fontId="8" fillId="2" borderId="0" xfId="0" applyNumberFormat="1" applyFont="1" applyFill="1" applyAlignment="1">
      <alignment horizontal="left" vertical="top"/>
    </xf>
    <xf numFmtId="0" fontId="8" fillId="2" borderId="0" xfId="0" applyFont="1" applyFill="1" applyAlignment="1">
      <alignment horizontal="center" wrapText="1"/>
    </xf>
    <xf numFmtId="0" fontId="8" fillId="2" borderId="0" xfId="0" applyFont="1" applyFill="1" applyAlignment="1">
      <alignment horizontal="center"/>
    </xf>
    <xf numFmtId="49" fontId="5" fillId="2" borderId="0" xfId="0" applyNumberFormat="1" applyFont="1" applyFill="1"/>
    <xf numFmtId="0" fontId="9" fillId="2" borderId="0" xfId="0" applyFont="1" applyFill="1"/>
    <xf numFmtId="1" fontId="9" fillId="2" borderId="0" xfId="0" applyNumberFormat="1" applyFont="1" applyFill="1"/>
    <xf numFmtId="1" fontId="9" fillId="2" borderId="0" xfId="3" applyNumberFormat="1" applyFont="1" applyFill="1" applyAlignment="1">
      <alignment horizontal="right"/>
    </xf>
    <xf numFmtId="1" fontId="9" fillId="2" borderId="0" xfId="3" applyNumberFormat="1" applyFont="1" applyFill="1" applyAlignment="1">
      <alignment horizontal="left"/>
    </xf>
    <xf numFmtId="0" fontId="6" fillId="2" borderId="0" xfId="0" quotePrefix="1" applyFont="1" applyFill="1"/>
    <xf numFmtId="0" fontId="9" fillId="2" borderId="0" xfId="0" quotePrefix="1" applyFont="1" applyFill="1" applyAlignment="1">
      <alignment horizontal="left"/>
    </xf>
    <xf numFmtId="0" fontId="9" fillId="2" borderId="0" xfId="0" applyFont="1" applyFill="1" applyAlignment="1">
      <alignment horizontal="left"/>
    </xf>
    <xf numFmtId="0" fontId="5" fillId="2" borderId="0" xfId="0" quotePrefix="1" applyFont="1" applyFill="1" applyAlignment="1">
      <alignment horizontal="left"/>
    </xf>
    <xf numFmtId="0" fontId="4" fillId="2" borderId="0" xfId="0" applyFont="1" applyFill="1"/>
    <xf numFmtId="0" fontId="4" fillId="2" borderId="0" xfId="0" applyFont="1" applyFill="1" applyAlignment="1">
      <alignment horizontal="left"/>
    </xf>
    <xf numFmtId="0" fontId="10" fillId="2" borderId="0" xfId="1" applyFont="1" applyFill="1" applyAlignment="1">
      <alignment horizontal="left"/>
    </xf>
    <xf numFmtId="0" fontId="11" fillId="2" borderId="0" xfId="0" applyFont="1" applyFill="1" applyAlignment="1">
      <alignment horizontal="right" vertical="center"/>
    </xf>
    <xf numFmtId="0" fontId="11" fillId="2" borderId="0" xfId="0" applyFont="1" applyFill="1" applyAlignment="1">
      <alignment horizontal="left" vertical="center"/>
    </xf>
    <xf numFmtId="0" fontId="5" fillId="2" borderId="0" xfId="0" applyFont="1" applyFill="1" applyAlignment="1" applyProtection="1">
      <alignment horizontal="right"/>
      <protection locked="0"/>
    </xf>
    <xf numFmtId="0" fontId="5" fillId="2" borderId="0" xfId="0" applyFont="1" applyFill="1" applyAlignment="1" applyProtection="1">
      <alignment horizontal="left"/>
      <protection locked="0"/>
    </xf>
    <xf numFmtId="0" fontId="7" fillId="2" borderId="0" xfId="2" applyFont="1" applyFill="1"/>
    <xf numFmtId="3" fontId="5" fillId="2" borderId="0" xfId="0" applyNumberFormat="1" applyFont="1" applyFill="1"/>
    <xf numFmtId="164" fontId="12" fillId="2" borderId="0" xfId="0" applyNumberFormat="1" applyFont="1" applyFill="1"/>
    <xf numFmtId="0" fontId="9" fillId="2" borderId="0" xfId="0" quotePrefix="1" applyFont="1" applyFill="1"/>
    <xf numFmtId="3" fontId="4" fillId="2" borderId="0" xfId="0" applyNumberFormat="1" applyFont="1" applyFill="1"/>
    <xf numFmtId="0" fontId="14" fillId="2" borderId="0" xfId="0" applyFont="1" applyFill="1"/>
    <xf numFmtId="0" fontId="14" fillId="2" borderId="0" xfId="0" applyFont="1" applyFill="1" applyAlignment="1">
      <alignment horizontal="right"/>
    </xf>
    <xf numFmtId="165" fontId="5" fillId="2" borderId="0" xfId="0" applyNumberFormat="1" applyFont="1" applyFill="1"/>
    <xf numFmtId="3" fontId="4" fillId="2" borderId="4" xfId="0" applyNumberFormat="1" applyFont="1" applyFill="1" applyBorder="1"/>
    <xf numFmtId="0" fontId="4" fillId="2" borderId="4" xfId="0" applyFont="1" applyFill="1" applyBorder="1" applyAlignment="1">
      <alignment horizontal="left"/>
    </xf>
    <xf numFmtId="0" fontId="5" fillId="2" borderId="11" xfId="0" applyFont="1" applyFill="1" applyBorder="1"/>
    <xf numFmtId="164" fontId="5" fillId="2" borderId="0" xfId="0" applyNumberFormat="1" applyFont="1" applyFill="1"/>
    <xf numFmtId="49" fontId="8" fillId="2" borderId="5" xfId="0" applyNumberFormat="1" applyFont="1" applyFill="1" applyBorder="1" applyAlignment="1">
      <alignment horizontal="left" vertical="top"/>
    </xf>
    <xf numFmtId="49" fontId="8" fillId="2" borderId="8" xfId="0" applyNumberFormat="1" applyFont="1" applyFill="1" applyBorder="1" applyAlignment="1">
      <alignment horizontal="left" vertical="top"/>
    </xf>
    <xf numFmtId="0" fontId="8" fillId="2" borderId="6" xfId="0" applyFont="1" applyFill="1" applyBorder="1" applyAlignment="1">
      <alignment horizontal="center" wrapText="1"/>
    </xf>
    <xf numFmtId="0" fontId="8" fillId="2" borderId="7" xfId="0" applyFont="1" applyFill="1" applyBorder="1" applyAlignment="1">
      <alignment horizontal="center" wrapText="1"/>
    </xf>
    <xf numFmtId="0" fontId="8" fillId="2" borderId="9" xfId="0" applyFont="1" applyFill="1" applyBorder="1" applyAlignment="1">
      <alignment horizontal="center" wrapText="1"/>
    </xf>
    <xf numFmtId="0" fontId="8" fillId="2" borderId="10" xfId="0" applyFont="1" applyFill="1" applyBorder="1" applyAlignment="1">
      <alignment horizontal="center" wrapText="1"/>
    </xf>
    <xf numFmtId="0" fontId="8" fillId="2" borderId="11" xfId="0" applyFont="1" applyFill="1" applyBorder="1" applyAlignment="1">
      <alignment horizontal="center" wrapText="1"/>
    </xf>
    <xf numFmtId="0" fontId="8" fillId="2" borderId="7" xfId="0" applyFont="1" applyFill="1" applyBorder="1" applyAlignment="1">
      <alignment horizontal="center"/>
    </xf>
    <xf numFmtId="0" fontId="8" fillId="2" borderId="4" xfId="0" applyFont="1" applyFill="1" applyBorder="1" applyAlignment="1">
      <alignment horizontal="center"/>
    </xf>
    <xf numFmtId="0" fontId="8" fillId="2" borderId="10" xfId="0" applyFont="1" applyFill="1" applyBorder="1" applyAlignment="1">
      <alignment horizontal="center"/>
    </xf>
    <xf numFmtId="0" fontId="8" fillId="2" borderId="5" xfId="0" applyFont="1" applyFill="1" applyBorder="1" applyAlignment="1">
      <alignment horizontal="center"/>
    </xf>
    <xf numFmtId="0" fontId="8" fillId="2" borderId="8" xfId="0" applyFont="1" applyFill="1" applyBorder="1" applyAlignment="1">
      <alignment horizontal="center"/>
    </xf>
    <xf numFmtId="0" fontId="7" fillId="2" borderId="0" xfId="0" applyFont="1" applyFill="1" applyAlignment="1">
      <alignment horizontal="right" vertical="center"/>
    </xf>
    <xf numFmtId="0" fontId="11" fillId="2" borderId="0" xfId="0" applyFont="1" applyFill="1" applyAlignment="1">
      <alignment horizontal="right" vertical="center"/>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cellXfs>
  <cellStyles count="5">
    <cellStyle name="Hyperlink" xfId="1" builtinId="8"/>
    <cellStyle name="Normal" xfId="0" builtinId="0"/>
    <cellStyle name="Normal 2 2" xfId="3" xr:uid="{D75EA28B-4565-42FE-87DF-0F29613467EA}"/>
    <cellStyle name="Normal 4" xfId="4" xr:uid="{3E3203CD-C856-48AB-8A7F-DEB6D3A75769}"/>
    <cellStyle name="Normal_Table 9 DRAFT Child protection SOWC 2006" xfId="2" xr:uid="{FCA21332-63B6-47E0-9BDF-C2F0F0B46FB2}"/>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0</xdr:row>
      <xdr:rowOff>95250</xdr:rowOff>
    </xdr:from>
    <xdr:to>
      <xdr:col>0</xdr:col>
      <xdr:colOff>1676400</xdr:colOff>
      <xdr:row>2</xdr:row>
      <xdr:rowOff>3810</xdr:rowOff>
    </xdr:to>
    <xdr:pic>
      <xdr:nvPicPr>
        <xdr:cNvPr id="2" name="Picture 1">
          <a:extLst>
            <a:ext uri="{FF2B5EF4-FFF2-40B4-BE49-F238E27FC236}">
              <a16:creationId xmlns:a16="http://schemas.microsoft.com/office/drawing/2014/main" id="{EB72E6A5-2CF3-41FA-B449-AF8CE1B063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95250"/>
          <a:ext cx="1371600" cy="3524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304800</xdr:colOff>
      <xdr:row>0</xdr:row>
      <xdr:rowOff>95250</xdr:rowOff>
    </xdr:from>
    <xdr:to>
      <xdr:col>0</xdr:col>
      <xdr:colOff>1676400</xdr:colOff>
      <xdr:row>2</xdr:row>
      <xdr:rowOff>3810</xdr:rowOff>
    </xdr:to>
    <xdr:pic>
      <xdr:nvPicPr>
        <xdr:cNvPr id="2" name="Picture 1">
          <a:extLst>
            <a:ext uri="{FF2B5EF4-FFF2-40B4-BE49-F238E27FC236}">
              <a16:creationId xmlns:a16="http://schemas.microsoft.com/office/drawing/2014/main" id="{95653EFE-0D0E-4210-AFC2-990B38E02E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99060"/>
          <a:ext cx="1371600" cy="35052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ta@unicef.org"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data@unicef.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DB2B3-7089-414B-AC9F-0CE9DB5E7A2D}">
  <dimension ref="A1:W252"/>
  <sheetViews>
    <sheetView tabSelected="1" workbookViewId="0">
      <pane xSplit="1" ySplit="10" topLeftCell="B222" activePane="bottomRight" state="frozen"/>
      <selection pane="topRight" activeCell="B1" sqref="B1"/>
      <selection pane="bottomLeft" activeCell="A11" sqref="A11"/>
      <selection pane="bottomRight" activeCell="E8" sqref="E8:F9"/>
    </sheetView>
  </sheetViews>
  <sheetFormatPr defaultColWidth="8.88671875" defaultRowHeight="13.8" x14ac:dyDescent="0.25"/>
  <cols>
    <col min="1" max="1" width="31.88671875" style="7" customWidth="1"/>
    <col min="2" max="2" width="12.33203125" style="8" customWidth="1"/>
    <col min="3" max="3" width="2.88671875" style="9" customWidth="1"/>
    <col min="4" max="4" width="19" style="9" customWidth="1"/>
    <col min="5" max="5" width="8.88671875" style="8"/>
    <col min="6" max="6" width="3.33203125" style="9" customWidth="1"/>
    <col min="7" max="7" width="19" style="7" customWidth="1"/>
    <col min="8" max="16384" width="8.88671875" style="7"/>
  </cols>
  <sheetData>
    <row r="1" spans="1:23" ht="18" x14ac:dyDescent="0.25">
      <c r="A1" s="6"/>
      <c r="B1" s="54" t="s">
        <v>0</v>
      </c>
      <c r="C1" s="54"/>
      <c r="D1" s="54"/>
      <c r="E1" s="54"/>
      <c r="F1" s="54"/>
    </row>
    <row r="2" spans="1:23" x14ac:dyDescent="0.25">
      <c r="B2" s="55" t="s">
        <v>1</v>
      </c>
      <c r="C2" s="55"/>
      <c r="D2" s="55"/>
      <c r="E2" s="55"/>
      <c r="F2" s="55"/>
    </row>
    <row r="3" spans="1:23" x14ac:dyDescent="0.25">
      <c r="B3" s="26"/>
      <c r="C3" s="27"/>
      <c r="D3" s="27"/>
      <c r="E3" s="26"/>
      <c r="F3" s="27"/>
    </row>
    <row r="4" spans="1:23" ht="18" x14ac:dyDescent="0.35">
      <c r="A4" s="30" t="s">
        <v>2</v>
      </c>
      <c r="B4" s="26"/>
      <c r="C4" s="27"/>
      <c r="D4" s="27"/>
      <c r="E4" s="26"/>
      <c r="F4" s="27"/>
    </row>
    <row r="5" spans="1:23" x14ac:dyDescent="0.25">
      <c r="B5" s="26"/>
      <c r="C5" s="27"/>
      <c r="D5" s="27"/>
      <c r="E5" s="26"/>
      <c r="F5" s="27"/>
    </row>
    <row r="6" spans="1:23" x14ac:dyDescent="0.25">
      <c r="A6" s="6" t="s">
        <v>320</v>
      </c>
    </row>
    <row r="7" spans="1:23" ht="44.4" customHeight="1" x14ac:dyDescent="0.25">
      <c r="B7" s="56" t="s">
        <v>285</v>
      </c>
      <c r="C7" s="57"/>
      <c r="D7" s="57"/>
      <c r="E7" s="57"/>
      <c r="F7" s="58"/>
      <c r="G7" s="10"/>
    </row>
    <row r="8" spans="1:23" ht="21" customHeight="1" x14ac:dyDescent="0.25">
      <c r="A8" s="42" t="s">
        <v>3</v>
      </c>
      <c r="B8" s="44" t="s">
        <v>321</v>
      </c>
      <c r="C8" s="45"/>
      <c r="D8" s="52" t="s">
        <v>4</v>
      </c>
      <c r="E8" s="48" t="s">
        <v>322</v>
      </c>
      <c r="F8" s="49"/>
      <c r="G8" s="52" t="s">
        <v>4</v>
      </c>
    </row>
    <row r="9" spans="1:23" ht="24.75" customHeight="1" x14ac:dyDescent="0.25">
      <c r="A9" s="43"/>
      <c r="B9" s="46"/>
      <c r="C9" s="47"/>
      <c r="D9" s="53"/>
      <c r="E9" s="50"/>
      <c r="F9" s="51"/>
      <c r="G9" s="53"/>
    </row>
    <row r="10" spans="1:23" x14ac:dyDescent="0.25">
      <c r="A10" s="11"/>
      <c r="B10" s="12"/>
      <c r="C10" s="12"/>
      <c r="D10" s="12"/>
      <c r="E10" s="13"/>
      <c r="F10" s="13"/>
      <c r="G10" s="13"/>
    </row>
    <row r="11" spans="1:23" x14ac:dyDescent="0.25">
      <c r="A11" s="14" t="s">
        <v>5</v>
      </c>
      <c r="B11" s="31">
        <v>70.599999999999994</v>
      </c>
      <c r="C11" s="7" t="s">
        <v>6</v>
      </c>
      <c r="D11" s="8" t="s">
        <v>7</v>
      </c>
      <c r="E11" s="31">
        <v>78.3</v>
      </c>
      <c r="F11" s="7" t="s">
        <v>6</v>
      </c>
      <c r="G11" s="8" t="s">
        <v>7</v>
      </c>
      <c r="R11" s="31"/>
      <c r="S11" s="31"/>
      <c r="T11" s="31"/>
      <c r="U11" s="31"/>
      <c r="V11" s="31"/>
      <c r="W11" s="31"/>
    </row>
    <row r="12" spans="1:23" x14ac:dyDescent="0.25">
      <c r="A12" s="14" t="s">
        <v>8</v>
      </c>
      <c r="B12" s="31">
        <v>10.9</v>
      </c>
      <c r="C12" s="7"/>
      <c r="D12" s="8" t="s">
        <v>9</v>
      </c>
      <c r="E12" s="31">
        <v>4.7</v>
      </c>
      <c r="F12" s="7"/>
      <c r="G12" s="8" t="s">
        <v>9</v>
      </c>
    </row>
    <row r="13" spans="1:23" x14ac:dyDescent="0.25">
      <c r="A13" s="14" t="s">
        <v>10</v>
      </c>
      <c r="B13" s="8" t="s">
        <v>11</v>
      </c>
      <c r="C13" s="7"/>
      <c r="D13" s="7"/>
      <c r="E13" s="31">
        <v>25.4</v>
      </c>
      <c r="F13" s="7"/>
      <c r="G13" s="8" t="s">
        <v>12</v>
      </c>
    </row>
    <row r="14" spans="1:23" x14ac:dyDescent="0.25">
      <c r="A14" s="15" t="s">
        <v>15</v>
      </c>
      <c r="B14" s="8" t="s">
        <v>11</v>
      </c>
      <c r="C14" s="7"/>
      <c r="D14" s="7"/>
      <c r="E14" s="8" t="s">
        <v>11</v>
      </c>
      <c r="F14" s="7"/>
    </row>
    <row r="15" spans="1:23" x14ac:dyDescent="0.25">
      <c r="A15" s="15" t="s">
        <v>13</v>
      </c>
      <c r="B15" s="31">
        <v>24</v>
      </c>
      <c r="C15" s="7"/>
      <c r="D15" s="8" t="s">
        <v>14</v>
      </c>
      <c r="E15" s="31">
        <v>24.7</v>
      </c>
      <c r="F15" s="7"/>
      <c r="G15" s="8" t="s">
        <v>14</v>
      </c>
    </row>
    <row r="16" spans="1:23" x14ac:dyDescent="0.25">
      <c r="A16" s="15" t="s">
        <v>21</v>
      </c>
      <c r="B16" s="8" t="s">
        <v>11</v>
      </c>
      <c r="C16" s="7"/>
      <c r="D16" s="7"/>
      <c r="E16" s="8" t="s">
        <v>11</v>
      </c>
      <c r="F16" s="7"/>
    </row>
    <row r="17" spans="1:7" x14ac:dyDescent="0.25">
      <c r="A17" s="15" t="s">
        <v>24</v>
      </c>
      <c r="B17" s="8" t="s">
        <v>11</v>
      </c>
      <c r="C17" s="7"/>
      <c r="D17" s="7"/>
      <c r="E17" s="8" t="s">
        <v>11</v>
      </c>
      <c r="F17" s="7"/>
    </row>
    <row r="18" spans="1:7" x14ac:dyDescent="0.25">
      <c r="A18" s="14" t="s">
        <v>19</v>
      </c>
      <c r="B18" s="8" t="s">
        <v>11</v>
      </c>
      <c r="C18" s="7"/>
      <c r="D18" s="7"/>
      <c r="E18" s="31">
        <v>3.5</v>
      </c>
      <c r="F18" s="7" t="s">
        <v>6</v>
      </c>
      <c r="G18" s="8" t="s">
        <v>211</v>
      </c>
    </row>
    <row r="19" spans="1:7" x14ac:dyDescent="0.25">
      <c r="A19" s="14" t="s">
        <v>16</v>
      </c>
      <c r="B19" s="31">
        <v>24.7</v>
      </c>
      <c r="C19" s="7"/>
      <c r="D19" s="8" t="s">
        <v>14</v>
      </c>
      <c r="E19" s="31">
        <v>8.6999999999999993</v>
      </c>
      <c r="F19" s="7"/>
      <c r="G19" s="8" t="s">
        <v>14</v>
      </c>
    </row>
    <row r="20" spans="1:7" x14ac:dyDescent="0.25">
      <c r="A20" s="15" t="s">
        <v>34</v>
      </c>
      <c r="B20" s="8" t="s">
        <v>11</v>
      </c>
      <c r="C20" s="7"/>
      <c r="D20" s="7"/>
      <c r="E20" s="8" t="s">
        <v>11</v>
      </c>
      <c r="F20" s="7"/>
    </row>
    <row r="21" spans="1:7" x14ac:dyDescent="0.25">
      <c r="A21" s="15" t="s">
        <v>37</v>
      </c>
      <c r="B21" s="8" t="s">
        <v>11</v>
      </c>
      <c r="C21" s="7"/>
      <c r="D21" s="7"/>
      <c r="E21" s="8" t="s">
        <v>11</v>
      </c>
      <c r="F21" s="7"/>
    </row>
    <row r="22" spans="1:7" x14ac:dyDescent="0.25">
      <c r="A22" s="14" t="s">
        <v>26</v>
      </c>
      <c r="B22" s="41">
        <v>63.1</v>
      </c>
      <c r="C22" s="7" t="s">
        <v>309</v>
      </c>
      <c r="D22" s="8" t="s">
        <v>275</v>
      </c>
      <c r="E22" s="31">
        <v>7.8</v>
      </c>
      <c r="F22" s="7"/>
      <c r="G22" s="8" t="s">
        <v>314</v>
      </c>
    </row>
    <row r="23" spans="1:7" x14ac:dyDescent="0.25">
      <c r="A23" s="15" t="s">
        <v>41</v>
      </c>
      <c r="B23" s="8" t="s">
        <v>11</v>
      </c>
      <c r="C23" s="7"/>
      <c r="D23" s="7"/>
      <c r="E23" s="8" t="s">
        <v>11</v>
      </c>
      <c r="F23" s="7"/>
    </row>
    <row r="24" spans="1:7" x14ac:dyDescent="0.25">
      <c r="A24" s="15" t="s">
        <v>46</v>
      </c>
      <c r="B24" s="8" t="s">
        <v>11</v>
      </c>
      <c r="C24" s="7"/>
      <c r="D24" s="7"/>
      <c r="E24" s="8" t="s">
        <v>11</v>
      </c>
      <c r="F24" s="7"/>
    </row>
    <row r="25" spans="1:7" x14ac:dyDescent="0.25">
      <c r="A25" s="15" t="s">
        <v>30</v>
      </c>
      <c r="B25" s="8" t="s">
        <v>11</v>
      </c>
      <c r="C25" s="7"/>
      <c r="D25" s="7"/>
      <c r="E25" s="31">
        <v>13.2</v>
      </c>
      <c r="F25" s="7" t="s">
        <v>6</v>
      </c>
      <c r="G25" s="8" t="s">
        <v>305</v>
      </c>
    </row>
    <row r="26" spans="1:7" x14ac:dyDescent="0.25">
      <c r="A26" s="14" t="s">
        <v>32</v>
      </c>
      <c r="B26" s="8" t="s">
        <v>11</v>
      </c>
      <c r="C26" s="7"/>
      <c r="D26" s="7"/>
      <c r="E26" s="31">
        <v>4.9000000000000004</v>
      </c>
      <c r="F26" s="7" t="s">
        <v>28</v>
      </c>
      <c r="G26" s="8" t="s">
        <v>33</v>
      </c>
    </row>
    <row r="27" spans="1:7" x14ac:dyDescent="0.25">
      <c r="A27" s="14" t="s">
        <v>17</v>
      </c>
      <c r="B27" s="31">
        <v>0.2</v>
      </c>
      <c r="C27" s="7"/>
      <c r="D27" s="8" t="s">
        <v>18</v>
      </c>
      <c r="E27" s="31">
        <v>1.2</v>
      </c>
      <c r="F27" s="7"/>
      <c r="G27" s="8" t="s">
        <v>18</v>
      </c>
    </row>
    <row r="28" spans="1:7" x14ac:dyDescent="0.25">
      <c r="A28" s="14" t="s">
        <v>55</v>
      </c>
      <c r="B28" s="8" t="s">
        <v>11</v>
      </c>
      <c r="C28" s="7"/>
      <c r="D28" s="7"/>
      <c r="E28" s="8" t="s">
        <v>11</v>
      </c>
      <c r="F28" s="7"/>
    </row>
    <row r="29" spans="1:7" x14ac:dyDescent="0.25">
      <c r="A29" s="14" t="s">
        <v>22</v>
      </c>
      <c r="B29" s="31">
        <v>7.8</v>
      </c>
      <c r="C29" s="7"/>
      <c r="D29" s="8" t="s">
        <v>279</v>
      </c>
      <c r="E29" s="31">
        <v>6.3</v>
      </c>
      <c r="F29" s="7"/>
      <c r="G29" s="8" t="s">
        <v>279</v>
      </c>
    </row>
    <row r="30" spans="1:7" x14ac:dyDescent="0.25">
      <c r="A30" s="15" t="s">
        <v>25</v>
      </c>
      <c r="B30" s="31">
        <v>13.6</v>
      </c>
      <c r="C30" s="7" t="s">
        <v>6</v>
      </c>
      <c r="D30" s="8" t="s">
        <v>296</v>
      </c>
      <c r="E30" s="31">
        <v>25.9</v>
      </c>
      <c r="F30" s="7" t="s">
        <v>6</v>
      </c>
      <c r="G30" s="8" t="s">
        <v>296</v>
      </c>
    </row>
    <row r="31" spans="1:7" x14ac:dyDescent="0.25">
      <c r="A31" s="15" t="s">
        <v>44</v>
      </c>
      <c r="B31" s="8" t="s">
        <v>11</v>
      </c>
      <c r="C31" s="7"/>
      <c r="D31" s="7"/>
      <c r="E31" s="31">
        <v>70.099999999999994</v>
      </c>
      <c r="F31" s="7" t="s">
        <v>28</v>
      </c>
      <c r="G31" s="8" t="s">
        <v>45</v>
      </c>
    </row>
    <row r="32" spans="1:7" x14ac:dyDescent="0.25">
      <c r="A32" s="15" t="s">
        <v>48</v>
      </c>
      <c r="B32" s="8" t="s">
        <v>11</v>
      </c>
      <c r="C32" s="7"/>
      <c r="D32" s="7"/>
      <c r="E32" s="31">
        <v>33.799999999999997</v>
      </c>
      <c r="F32" s="7" t="s">
        <v>6</v>
      </c>
      <c r="G32" s="8" t="s">
        <v>49</v>
      </c>
    </row>
    <row r="33" spans="1:7" x14ac:dyDescent="0.25">
      <c r="A33" s="14" t="s">
        <v>29</v>
      </c>
      <c r="B33" s="31">
        <v>5</v>
      </c>
      <c r="C33" s="7" t="s">
        <v>28</v>
      </c>
      <c r="D33" s="8" t="s">
        <v>20</v>
      </c>
      <c r="E33" s="31">
        <v>1.3</v>
      </c>
      <c r="F33" s="7" t="s">
        <v>28</v>
      </c>
      <c r="G33" s="8" t="s">
        <v>20</v>
      </c>
    </row>
    <row r="34" spans="1:7" x14ac:dyDescent="0.25">
      <c r="A34" s="15" t="s">
        <v>67</v>
      </c>
      <c r="B34" s="8" t="s">
        <v>11</v>
      </c>
      <c r="C34" s="7"/>
      <c r="D34" s="7"/>
      <c r="E34" s="8" t="s">
        <v>11</v>
      </c>
      <c r="F34" s="7"/>
    </row>
    <row r="35" spans="1:7" x14ac:dyDescent="0.25">
      <c r="A35" s="15" t="s">
        <v>70</v>
      </c>
      <c r="B35" s="8" t="s">
        <v>11</v>
      </c>
      <c r="C35" s="7"/>
      <c r="D35" s="7"/>
      <c r="E35" s="8" t="s">
        <v>11</v>
      </c>
      <c r="F35" s="7"/>
    </row>
    <row r="36" spans="1:7" x14ac:dyDescent="0.25">
      <c r="A36" s="15" t="s">
        <v>73</v>
      </c>
      <c r="B36" s="8" t="s">
        <v>11</v>
      </c>
      <c r="C36" s="7"/>
      <c r="D36" s="7"/>
      <c r="E36" s="8" t="s">
        <v>11</v>
      </c>
      <c r="F36" s="7"/>
    </row>
    <row r="37" spans="1:7" x14ac:dyDescent="0.25">
      <c r="A37" s="15" t="s">
        <v>77</v>
      </c>
      <c r="B37" s="8" t="s">
        <v>11</v>
      </c>
      <c r="C37" s="7"/>
      <c r="D37" s="7"/>
      <c r="E37" s="8" t="s">
        <v>11</v>
      </c>
      <c r="F37" s="7"/>
    </row>
    <row r="38" spans="1:7" x14ac:dyDescent="0.25">
      <c r="A38" s="15" t="s">
        <v>80</v>
      </c>
      <c r="B38" s="8" t="s">
        <v>11</v>
      </c>
      <c r="C38" s="7"/>
      <c r="D38" s="7"/>
      <c r="E38" s="8" t="s">
        <v>11</v>
      </c>
      <c r="F38" s="7"/>
    </row>
    <row r="39" spans="1:7" x14ac:dyDescent="0.25">
      <c r="A39" s="14" t="s">
        <v>31</v>
      </c>
      <c r="B39" s="31">
        <v>28.2</v>
      </c>
      <c r="C39" s="7" t="s">
        <v>6</v>
      </c>
      <c r="D39" s="8" t="s">
        <v>292</v>
      </c>
      <c r="E39" s="31">
        <v>39.1</v>
      </c>
      <c r="F39" s="7" t="s">
        <v>6</v>
      </c>
      <c r="G39" s="8" t="s">
        <v>292</v>
      </c>
    </row>
    <row r="40" spans="1:7" x14ac:dyDescent="0.25">
      <c r="A40" s="15" t="s">
        <v>35</v>
      </c>
      <c r="B40" s="31">
        <v>47.9</v>
      </c>
      <c r="C40" s="7"/>
      <c r="D40" s="8" t="s">
        <v>36</v>
      </c>
      <c r="E40" s="31">
        <v>63.3</v>
      </c>
      <c r="F40" s="7"/>
      <c r="G40" s="8" t="s">
        <v>36</v>
      </c>
    </row>
    <row r="41" spans="1:7" x14ac:dyDescent="0.25">
      <c r="A41" s="15" t="s">
        <v>38</v>
      </c>
      <c r="B41" s="31">
        <v>6.3</v>
      </c>
      <c r="C41" s="7"/>
      <c r="D41" s="8" t="s">
        <v>43</v>
      </c>
      <c r="E41" s="31">
        <v>7.4</v>
      </c>
      <c r="F41" s="7"/>
      <c r="G41" s="8" t="s">
        <v>43</v>
      </c>
    </row>
    <row r="42" spans="1:7" x14ac:dyDescent="0.25">
      <c r="A42" s="15" t="s">
        <v>39</v>
      </c>
      <c r="B42" s="31">
        <v>16.8</v>
      </c>
      <c r="C42" s="7"/>
      <c r="D42" s="8" t="s">
        <v>302</v>
      </c>
      <c r="E42" s="31">
        <v>32.6</v>
      </c>
      <c r="F42" s="7"/>
      <c r="G42" s="8" t="s">
        <v>302</v>
      </c>
    </row>
    <row r="43" spans="1:7" x14ac:dyDescent="0.25">
      <c r="A43" s="14" t="s">
        <v>42</v>
      </c>
      <c r="B43" s="31">
        <v>34.200000000000003</v>
      </c>
      <c r="C43" s="7"/>
      <c r="D43" s="8" t="s">
        <v>43</v>
      </c>
      <c r="E43" s="31">
        <v>28.1</v>
      </c>
      <c r="F43" s="7"/>
      <c r="G43" s="8" t="s">
        <v>43</v>
      </c>
    </row>
    <row r="44" spans="1:7" x14ac:dyDescent="0.25">
      <c r="A44" s="14" t="s">
        <v>92</v>
      </c>
      <c r="B44" s="8" t="s">
        <v>11</v>
      </c>
      <c r="C44" s="7"/>
      <c r="D44" s="7"/>
      <c r="E44" s="8" t="s">
        <v>11</v>
      </c>
      <c r="F44" s="7"/>
    </row>
    <row r="45" spans="1:7" x14ac:dyDescent="0.25">
      <c r="A45" s="14" t="s">
        <v>47</v>
      </c>
      <c r="B45" s="31">
        <v>37.799999999999997</v>
      </c>
      <c r="C45" s="7"/>
      <c r="D45" s="8" t="s">
        <v>12</v>
      </c>
      <c r="E45" s="31">
        <v>60.6</v>
      </c>
      <c r="F45" s="7"/>
      <c r="G45" s="8" t="s">
        <v>12</v>
      </c>
    </row>
    <row r="46" spans="1:7" x14ac:dyDescent="0.25">
      <c r="A46" s="14" t="s">
        <v>64</v>
      </c>
      <c r="B46" s="41">
        <v>53.5</v>
      </c>
      <c r="C46" s="7" t="s">
        <v>310</v>
      </c>
      <c r="D46" s="8" t="s">
        <v>276</v>
      </c>
      <c r="E46" s="31">
        <v>73.7</v>
      </c>
      <c r="F46" s="7"/>
      <c r="G46" s="8" t="s">
        <v>18</v>
      </c>
    </row>
    <row r="47" spans="1:7" x14ac:dyDescent="0.25">
      <c r="A47" s="15" t="s">
        <v>99</v>
      </c>
      <c r="B47" s="8" t="s">
        <v>11</v>
      </c>
      <c r="C47" s="7"/>
      <c r="D47" s="7"/>
      <c r="E47" s="8" t="s">
        <v>11</v>
      </c>
      <c r="F47" s="7"/>
    </row>
    <row r="48" spans="1:7" x14ac:dyDescent="0.25">
      <c r="A48" s="15" t="s">
        <v>101</v>
      </c>
      <c r="B48" s="8" t="s">
        <v>11</v>
      </c>
      <c r="C48" s="7"/>
      <c r="D48" s="7"/>
      <c r="E48" s="8" t="s">
        <v>11</v>
      </c>
      <c r="F48" s="7"/>
    </row>
    <row r="49" spans="1:7" x14ac:dyDescent="0.25">
      <c r="A49" s="15" t="s">
        <v>50</v>
      </c>
      <c r="B49" s="31">
        <v>5.0999999999999996</v>
      </c>
      <c r="C49" s="7"/>
      <c r="D49" s="8" t="s">
        <v>7</v>
      </c>
      <c r="E49" s="31">
        <v>3.5</v>
      </c>
      <c r="F49" s="7"/>
      <c r="G49" s="8" t="s">
        <v>7</v>
      </c>
    </row>
    <row r="50" spans="1:7" x14ac:dyDescent="0.25">
      <c r="A50" s="15" t="s">
        <v>51</v>
      </c>
      <c r="B50" s="31">
        <v>21.6</v>
      </c>
      <c r="C50" s="7"/>
      <c r="D50" s="8" t="s">
        <v>303</v>
      </c>
      <c r="E50" s="31">
        <v>18.3</v>
      </c>
      <c r="F50" s="7"/>
      <c r="G50" s="8" t="s">
        <v>303</v>
      </c>
    </row>
    <row r="51" spans="1:7" x14ac:dyDescent="0.25">
      <c r="A51" s="14" t="s">
        <v>53</v>
      </c>
      <c r="B51" s="31">
        <v>45.3</v>
      </c>
      <c r="C51" s="7"/>
      <c r="D51" s="8" t="s">
        <v>54</v>
      </c>
      <c r="E51" s="31">
        <v>56</v>
      </c>
      <c r="F51" s="7"/>
      <c r="G51" s="8" t="s">
        <v>54</v>
      </c>
    </row>
    <row r="52" spans="1:7" x14ac:dyDescent="0.25">
      <c r="A52" s="14" t="s">
        <v>108</v>
      </c>
      <c r="B52" s="8" t="s">
        <v>11</v>
      </c>
      <c r="C52" s="7"/>
      <c r="D52" s="7"/>
      <c r="E52" s="8" t="s">
        <v>11</v>
      </c>
      <c r="F52" s="7"/>
    </row>
    <row r="53" spans="1:7" x14ac:dyDescent="0.25">
      <c r="A53" s="14" t="s">
        <v>75</v>
      </c>
      <c r="B53" s="8" t="s">
        <v>11</v>
      </c>
      <c r="C53" s="7"/>
      <c r="D53" s="7"/>
      <c r="E53" s="31">
        <v>3.3</v>
      </c>
      <c r="F53" s="7"/>
      <c r="G53" s="8" t="s">
        <v>76</v>
      </c>
    </row>
    <row r="54" spans="1:7" x14ac:dyDescent="0.25">
      <c r="A54" s="14" t="s">
        <v>56</v>
      </c>
      <c r="B54" s="31">
        <v>24.5</v>
      </c>
      <c r="C54" s="7"/>
      <c r="D54" s="8" t="s">
        <v>292</v>
      </c>
      <c r="E54" s="31">
        <v>27.7</v>
      </c>
      <c r="F54" s="7"/>
      <c r="G54" s="8" t="s">
        <v>292</v>
      </c>
    </row>
    <row r="55" spans="1:7" x14ac:dyDescent="0.25">
      <c r="A55" s="15" t="s">
        <v>113</v>
      </c>
      <c r="B55" s="8" t="s">
        <v>11</v>
      </c>
      <c r="C55" s="7"/>
      <c r="D55" s="7"/>
      <c r="E55" s="8" t="s">
        <v>11</v>
      </c>
      <c r="F55" s="7"/>
    </row>
    <row r="56" spans="1:7" x14ac:dyDescent="0.25">
      <c r="A56" s="15" t="s">
        <v>58</v>
      </c>
      <c r="B56" s="31">
        <v>0.8</v>
      </c>
      <c r="C56" s="7"/>
      <c r="D56" s="8" t="s">
        <v>18</v>
      </c>
      <c r="E56" s="31">
        <v>2.9</v>
      </c>
      <c r="F56" s="7"/>
      <c r="G56" s="8" t="s">
        <v>18</v>
      </c>
    </row>
    <row r="57" spans="1:7" x14ac:dyDescent="0.25">
      <c r="A57" s="15" t="s">
        <v>116</v>
      </c>
      <c r="B57" s="8" t="s">
        <v>11</v>
      </c>
      <c r="C57" s="7"/>
      <c r="D57" s="7"/>
      <c r="E57" s="8" t="s">
        <v>11</v>
      </c>
      <c r="F57" s="7"/>
    </row>
    <row r="58" spans="1:7" x14ac:dyDescent="0.25">
      <c r="A58" s="15" t="s">
        <v>119</v>
      </c>
      <c r="B58" s="8" t="s">
        <v>11</v>
      </c>
      <c r="C58" s="7"/>
      <c r="D58" s="7"/>
      <c r="E58" s="8" t="s">
        <v>11</v>
      </c>
      <c r="F58" s="7"/>
    </row>
    <row r="59" spans="1:7" x14ac:dyDescent="0.25">
      <c r="A59" s="15" t="s">
        <v>59</v>
      </c>
      <c r="B59" s="31">
        <v>3.9</v>
      </c>
      <c r="C59" s="7"/>
      <c r="D59" s="8" t="s">
        <v>60</v>
      </c>
      <c r="E59" s="31">
        <v>3.7</v>
      </c>
      <c r="F59" s="7"/>
      <c r="G59" s="8" t="s">
        <v>60</v>
      </c>
    </row>
    <row r="60" spans="1:7" x14ac:dyDescent="0.25">
      <c r="A60" s="14" t="s">
        <v>61</v>
      </c>
      <c r="B60" s="31">
        <v>51.6</v>
      </c>
      <c r="C60" s="7"/>
      <c r="D60" s="8" t="s">
        <v>62</v>
      </c>
      <c r="E60" s="31">
        <v>59.6</v>
      </c>
      <c r="F60" s="7"/>
      <c r="G60" s="8" t="s">
        <v>62</v>
      </c>
    </row>
    <row r="61" spans="1:7" x14ac:dyDescent="0.25">
      <c r="A61" s="14" t="s">
        <v>124</v>
      </c>
      <c r="B61" s="8" t="s">
        <v>11</v>
      </c>
      <c r="C61" s="7"/>
      <c r="D61" s="7"/>
      <c r="E61" s="8" t="s">
        <v>11</v>
      </c>
      <c r="F61" s="7"/>
    </row>
    <row r="62" spans="1:7" x14ac:dyDescent="0.25">
      <c r="A62" s="14" t="s">
        <v>129</v>
      </c>
      <c r="B62" s="8" t="s">
        <v>11</v>
      </c>
      <c r="C62" s="7"/>
      <c r="D62" s="7"/>
      <c r="E62" s="31">
        <v>35.299999999999997</v>
      </c>
      <c r="F62" s="7" t="s">
        <v>6</v>
      </c>
      <c r="G62" s="8" t="s">
        <v>289</v>
      </c>
    </row>
    <row r="63" spans="1:7" x14ac:dyDescent="0.25">
      <c r="A63" s="15" t="s">
        <v>131</v>
      </c>
      <c r="B63" s="8" t="s">
        <v>11</v>
      </c>
      <c r="C63" s="7"/>
      <c r="D63" s="7"/>
      <c r="E63" s="8" t="s">
        <v>11</v>
      </c>
      <c r="F63" s="7"/>
    </row>
    <row r="64" spans="1:7" x14ac:dyDescent="0.25">
      <c r="A64" s="14" t="s">
        <v>86</v>
      </c>
      <c r="B64" s="41">
        <v>13.5</v>
      </c>
      <c r="C64" s="7" t="s">
        <v>309</v>
      </c>
      <c r="D64" s="8" t="s">
        <v>118</v>
      </c>
      <c r="E64" s="31">
        <v>2.8</v>
      </c>
      <c r="F64" s="7"/>
      <c r="G64" s="8" t="s">
        <v>18</v>
      </c>
    </row>
    <row r="65" spans="1:7" x14ac:dyDescent="0.25">
      <c r="A65" s="14" t="s">
        <v>136</v>
      </c>
      <c r="B65" s="8" t="s">
        <v>11</v>
      </c>
      <c r="C65" s="7"/>
      <c r="D65" s="7"/>
      <c r="E65" s="8" t="s">
        <v>11</v>
      </c>
      <c r="F65" s="7"/>
    </row>
    <row r="66" spans="1:7" x14ac:dyDescent="0.25">
      <c r="A66" s="14" t="s">
        <v>88</v>
      </c>
      <c r="B66" s="8" t="s">
        <v>11</v>
      </c>
      <c r="C66" s="7"/>
      <c r="D66" s="7"/>
      <c r="E66" s="31">
        <v>27.4</v>
      </c>
      <c r="F66" s="7" t="s">
        <v>6</v>
      </c>
      <c r="G66" s="8" t="s">
        <v>304</v>
      </c>
    </row>
    <row r="67" spans="1:7" x14ac:dyDescent="0.25">
      <c r="A67" s="15" t="s">
        <v>90</v>
      </c>
      <c r="B67" s="8" t="s">
        <v>11</v>
      </c>
      <c r="C67" s="7"/>
      <c r="D67" s="7"/>
      <c r="E67" s="31">
        <v>4.5</v>
      </c>
      <c r="F67" s="7"/>
      <c r="G67" s="8" t="s">
        <v>318</v>
      </c>
    </row>
    <row r="68" spans="1:7" x14ac:dyDescent="0.25">
      <c r="A68" s="15" t="s">
        <v>63</v>
      </c>
      <c r="B68" s="31">
        <v>55.8</v>
      </c>
      <c r="C68" s="7" t="s">
        <v>28</v>
      </c>
      <c r="D68" s="8" t="s">
        <v>27</v>
      </c>
      <c r="E68" s="31">
        <v>56.7</v>
      </c>
      <c r="F68" s="7" t="s">
        <v>28</v>
      </c>
      <c r="G68" s="8" t="s">
        <v>27</v>
      </c>
    </row>
    <row r="69" spans="1:7" x14ac:dyDescent="0.25">
      <c r="A69" s="15" t="s">
        <v>65</v>
      </c>
      <c r="B69" s="31">
        <v>60.3</v>
      </c>
      <c r="C69" s="7" t="s">
        <v>28</v>
      </c>
      <c r="D69" s="8" t="s">
        <v>66</v>
      </c>
      <c r="E69" s="31">
        <v>51.4</v>
      </c>
      <c r="F69" s="7" t="s">
        <v>28</v>
      </c>
      <c r="G69" s="8" t="s">
        <v>66</v>
      </c>
    </row>
    <row r="70" spans="1:7" x14ac:dyDescent="0.25">
      <c r="A70" s="15" t="s">
        <v>145</v>
      </c>
      <c r="B70" s="8" t="s">
        <v>11</v>
      </c>
      <c r="C70" s="7"/>
      <c r="D70" s="7"/>
      <c r="E70" s="8" t="s">
        <v>11</v>
      </c>
      <c r="F70" s="7"/>
    </row>
    <row r="71" spans="1:7" x14ac:dyDescent="0.25">
      <c r="A71" s="15" t="s">
        <v>68</v>
      </c>
      <c r="B71" s="31">
        <v>5.9</v>
      </c>
      <c r="C71" s="7"/>
      <c r="D71" s="8" t="s">
        <v>296</v>
      </c>
      <c r="E71" s="31">
        <v>15.3</v>
      </c>
      <c r="F71" s="7"/>
      <c r="G71" s="8" t="s">
        <v>296</v>
      </c>
    </row>
    <row r="72" spans="1:7" x14ac:dyDescent="0.25">
      <c r="A72" s="15" t="s">
        <v>71</v>
      </c>
      <c r="B72" s="31">
        <v>32.799999999999997</v>
      </c>
      <c r="C72" s="7"/>
      <c r="D72" s="8" t="s">
        <v>72</v>
      </c>
      <c r="E72" s="31">
        <v>60.3</v>
      </c>
      <c r="F72" s="7"/>
      <c r="G72" s="8" t="s">
        <v>72</v>
      </c>
    </row>
    <row r="73" spans="1:7" x14ac:dyDescent="0.25">
      <c r="A73" s="14" t="s">
        <v>149</v>
      </c>
      <c r="B73" s="31">
        <v>19</v>
      </c>
      <c r="C73" s="7"/>
      <c r="D73" s="8" t="s">
        <v>290</v>
      </c>
      <c r="E73" s="31">
        <v>20.2</v>
      </c>
      <c r="F73" s="7"/>
      <c r="G73" s="8" t="s">
        <v>290</v>
      </c>
    </row>
    <row r="74" spans="1:7" x14ac:dyDescent="0.25">
      <c r="A74" s="15" t="s">
        <v>151</v>
      </c>
      <c r="B74" s="8" t="s">
        <v>11</v>
      </c>
      <c r="C74" s="7"/>
      <c r="D74" s="7"/>
      <c r="E74" s="8" t="s">
        <v>11</v>
      </c>
      <c r="F74" s="7"/>
    </row>
    <row r="75" spans="1:7" x14ac:dyDescent="0.25">
      <c r="A75" s="15" t="s">
        <v>154</v>
      </c>
      <c r="B75" s="8" t="s">
        <v>11</v>
      </c>
      <c r="C75" s="7"/>
      <c r="D75" s="7"/>
      <c r="E75" s="8" t="s">
        <v>11</v>
      </c>
      <c r="F75" s="7"/>
    </row>
    <row r="76" spans="1:7" x14ac:dyDescent="0.25">
      <c r="A76" s="15" t="s">
        <v>74</v>
      </c>
      <c r="B76" s="31">
        <v>40.299999999999997</v>
      </c>
      <c r="C76" s="7"/>
      <c r="D76" s="8" t="s">
        <v>293</v>
      </c>
      <c r="E76" s="31">
        <v>36.799999999999997</v>
      </c>
      <c r="F76" s="7"/>
      <c r="G76" s="8" t="s">
        <v>293</v>
      </c>
    </row>
    <row r="77" spans="1:7" x14ac:dyDescent="0.25">
      <c r="A77" s="14" t="s">
        <v>78</v>
      </c>
      <c r="B77" s="31">
        <v>50.2</v>
      </c>
      <c r="C77" s="7"/>
      <c r="D77" s="8" t="s">
        <v>79</v>
      </c>
      <c r="E77" s="31">
        <v>56.8</v>
      </c>
      <c r="F77" s="7"/>
      <c r="G77" s="8" t="s">
        <v>79</v>
      </c>
    </row>
    <row r="78" spans="1:7" x14ac:dyDescent="0.25">
      <c r="A78" s="14" t="s">
        <v>105</v>
      </c>
      <c r="B78" s="8">
        <v>0</v>
      </c>
      <c r="C78" s="7"/>
      <c r="D78" s="7" t="s">
        <v>312</v>
      </c>
      <c r="E78" s="8">
        <v>0</v>
      </c>
      <c r="F78" s="7"/>
      <c r="G78" s="7" t="s">
        <v>319</v>
      </c>
    </row>
    <row r="79" spans="1:7" x14ac:dyDescent="0.25">
      <c r="A79" s="14" t="s">
        <v>160</v>
      </c>
      <c r="B79" s="8" t="s">
        <v>11</v>
      </c>
      <c r="C79" s="7"/>
      <c r="D79" s="7"/>
      <c r="E79" s="8" t="s">
        <v>11</v>
      </c>
      <c r="F79" s="7"/>
    </row>
    <row r="80" spans="1:7" x14ac:dyDescent="0.25">
      <c r="A80" s="14" t="s">
        <v>81</v>
      </c>
      <c r="B80" s="31">
        <v>25.9</v>
      </c>
      <c r="C80" s="7"/>
      <c r="D80" s="8" t="s">
        <v>305</v>
      </c>
      <c r="E80" s="31">
        <v>24.7</v>
      </c>
      <c r="F80" s="7"/>
      <c r="G80" s="8" t="s">
        <v>305</v>
      </c>
    </row>
    <row r="81" spans="1:7" x14ac:dyDescent="0.25">
      <c r="A81" s="14" t="s">
        <v>165</v>
      </c>
      <c r="B81" s="8" t="s">
        <v>11</v>
      </c>
      <c r="C81" s="7"/>
      <c r="D81" s="7"/>
      <c r="E81" s="8" t="s">
        <v>11</v>
      </c>
      <c r="F81" s="7"/>
    </row>
    <row r="82" spans="1:7" x14ac:dyDescent="0.25">
      <c r="A82" s="15" t="s">
        <v>167</v>
      </c>
      <c r="B82" s="8" t="s">
        <v>11</v>
      </c>
      <c r="C82" s="7"/>
      <c r="D82" s="7"/>
      <c r="E82" s="8" t="s">
        <v>11</v>
      </c>
      <c r="F82" s="7"/>
    </row>
    <row r="83" spans="1:7" x14ac:dyDescent="0.25">
      <c r="A83" s="15" t="s">
        <v>82</v>
      </c>
      <c r="B83" s="31">
        <v>12.3</v>
      </c>
      <c r="C83" s="7"/>
      <c r="D83" s="8" t="s">
        <v>83</v>
      </c>
      <c r="E83" s="31">
        <v>13.5</v>
      </c>
      <c r="F83" s="7"/>
      <c r="G83" s="8" t="s">
        <v>83</v>
      </c>
    </row>
    <row r="84" spans="1:7" x14ac:dyDescent="0.25">
      <c r="A84" s="15" t="s">
        <v>84</v>
      </c>
      <c r="B84" s="31">
        <v>56.9</v>
      </c>
      <c r="C84" s="7"/>
      <c r="D84" s="8" t="s">
        <v>43</v>
      </c>
      <c r="E84" s="31">
        <v>64.599999999999994</v>
      </c>
      <c r="F84" s="7"/>
      <c r="G84" s="8" t="s">
        <v>43</v>
      </c>
    </row>
    <row r="85" spans="1:7" x14ac:dyDescent="0.25">
      <c r="A85" s="14" t="s">
        <v>85</v>
      </c>
      <c r="B85" s="31">
        <v>29.5</v>
      </c>
      <c r="C85" s="7"/>
      <c r="D85" s="8" t="s">
        <v>12</v>
      </c>
      <c r="E85" s="31">
        <v>33.700000000000003</v>
      </c>
      <c r="F85" s="7"/>
      <c r="G85" s="8" t="s">
        <v>12</v>
      </c>
    </row>
    <row r="86" spans="1:7" x14ac:dyDescent="0.25">
      <c r="A86" s="14" t="s">
        <v>87</v>
      </c>
      <c r="B86" s="31">
        <v>10.4</v>
      </c>
      <c r="C86" s="7"/>
      <c r="D86" s="8" t="s">
        <v>211</v>
      </c>
      <c r="E86" s="31">
        <v>11.9</v>
      </c>
      <c r="F86" s="7"/>
      <c r="G86" s="8" t="s">
        <v>211</v>
      </c>
    </row>
    <row r="87" spans="1:7" x14ac:dyDescent="0.25">
      <c r="A87" s="14" t="s">
        <v>89</v>
      </c>
      <c r="B87" s="31">
        <v>15.2</v>
      </c>
      <c r="C87" s="7"/>
      <c r="D87" s="8" t="s">
        <v>36</v>
      </c>
      <c r="E87" s="31">
        <v>23.3</v>
      </c>
      <c r="F87" s="7"/>
      <c r="G87" s="8" t="s">
        <v>36</v>
      </c>
    </row>
    <row r="88" spans="1:7" x14ac:dyDescent="0.25">
      <c r="A88" s="15" t="s">
        <v>175</v>
      </c>
      <c r="B88" s="8" t="s">
        <v>11</v>
      </c>
      <c r="C88" s="7"/>
      <c r="D88" s="7"/>
      <c r="E88" s="8" t="s">
        <v>11</v>
      </c>
      <c r="F88" s="7"/>
    </row>
    <row r="89" spans="1:7" x14ac:dyDescent="0.25">
      <c r="A89" s="15" t="s">
        <v>93</v>
      </c>
      <c r="B89" s="31">
        <v>6.5</v>
      </c>
      <c r="C89" s="7"/>
      <c r="D89" s="8" t="s">
        <v>18</v>
      </c>
      <c r="E89" s="31">
        <v>7.2</v>
      </c>
      <c r="F89" s="7"/>
      <c r="G89" s="8" t="s">
        <v>18</v>
      </c>
    </row>
    <row r="90" spans="1:7" x14ac:dyDescent="0.25">
      <c r="A90" s="15" t="s">
        <v>180</v>
      </c>
      <c r="B90" s="8" t="s">
        <v>11</v>
      </c>
      <c r="C90" s="7"/>
      <c r="D90" s="7"/>
      <c r="E90" s="8" t="s">
        <v>11</v>
      </c>
      <c r="F90" s="7"/>
    </row>
    <row r="91" spans="1:7" x14ac:dyDescent="0.25">
      <c r="A91" s="15" t="s">
        <v>182</v>
      </c>
      <c r="B91" s="8" t="s">
        <v>11</v>
      </c>
      <c r="C91" s="7"/>
      <c r="D91" s="7"/>
      <c r="E91" s="8" t="s">
        <v>11</v>
      </c>
      <c r="F91" s="7"/>
    </row>
    <row r="92" spans="1:7" x14ac:dyDescent="0.25">
      <c r="A92" s="15" t="s">
        <v>95</v>
      </c>
      <c r="B92" s="41">
        <v>35.200000000000003</v>
      </c>
      <c r="C92" s="7"/>
      <c r="D92" s="8" t="s">
        <v>291</v>
      </c>
      <c r="E92" s="31">
        <v>34.9</v>
      </c>
      <c r="F92" s="7"/>
      <c r="G92" s="8" t="s">
        <v>291</v>
      </c>
    </row>
    <row r="93" spans="1:7" x14ac:dyDescent="0.25">
      <c r="A93" s="15" t="s">
        <v>97</v>
      </c>
      <c r="B93" s="31">
        <v>31.6</v>
      </c>
      <c r="C93" s="7" t="s">
        <v>234</v>
      </c>
      <c r="D93" s="8" t="s">
        <v>98</v>
      </c>
      <c r="E93" s="31">
        <v>40.299999999999997</v>
      </c>
      <c r="F93" s="7"/>
      <c r="G93" s="8" t="s">
        <v>98</v>
      </c>
    </row>
    <row r="94" spans="1:7" x14ac:dyDescent="0.25">
      <c r="A94" s="15" t="s">
        <v>187</v>
      </c>
      <c r="B94" s="8" t="s">
        <v>11</v>
      </c>
      <c r="C94" s="7"/>
      <c r="D94" s="7"/>
      <c r="E94" s="8" t="s">
        <v>11</v>
      </c>
      <c r="F94" s="7"/>
    </row>
    <row r="95" spans="1:7" x14ac:dyDescent="0.25">
      <c r="A95" s="14" t="s">
        <v>123</v>
      </c>
      <c r="B95" s="8" t="s">
        <v>11</v>
      </c>
      <c r="C95" s="7"/>
      <c r="D95" s="7"/>
      <c r="E95" s="31">
        <v>31.3</v>
      </c>
      <c r="F95" s="7"/>
      <c r="G95" s="8" t="s">
        <v>107</v>
      </c>
    </row>
    <row r="96" spans="1:7" x14ac:dyDescent="0.25">
      <c r="A96" s="15" t="s">
        <v>190</v>
      </c>
      <c r="B96" s="8" t="s">
        <v>11</v>
      </c>
      <c r="C96" s="7"/>
      <c r="D96" s="7"/>
      <c r="E96" s="8" t="s">
        <v>11</v>
      </c>
      <c r="F96" s="7"/>
    </row>
    <row r="97" spans="1:7" x14ac:dyDescent="0.25">
      <c r="A97" s="15" t="s">
        <v>192</v>
      </c>
      <c r="B97" s="8" t="s">
        <v>11</v>
      </c>
      <c r="C97" s="7"/>
      <c r="D97" s="7"/>
      <c r="E97" s="8" t="s">
        <v>11</v>
      </c>
      <c r="F97" s="7"/>
    </row>
    <row r="98" spans="1:7" x14ac:dyDescent="0.25">
      <c r="A98" s="15" t="s">
        <v>194</v>
      </c>
      <c r="B98" s="8" t="s">
        <v>11</v>
      </c>
      <c r="C98" s="7"/>
      <c r="D98" s="7"/>
      <c r="E98" s="8" t="s">
        <v>11</v>
      </c>
      <c r="F98" s="7"/>
    </row>
    <row r="99" spans="1:7" x14ac:dyDescent="0.25">
      <c r="A99" s="14" t="s">
        <v>127</v>
      </c>
      <c r="B99" s="41">
        <v>28.4</v>
      </c>
      <c r="C99" s="7" t="s">
        <v>311</v>
      </c>
      <c r="D99" s="8" t="s">
        <v>277</v>
      </c>
      <c r="E99" s="31">
        <v>6.9</v>
      </c>
      <c r="F99" s="7"/>
      <c r="G99" s="8" t="s">
        <v>303</v>
      </c>
    </row>
    <row r="100" spans="1:7" x14ac:dyDescent="0.25">
      <c r="A100" s="14" t="s">
        <v>198</v>
      </c>
      <c r="B100" s="8" t="s">
        <v>11</v>
      </c>
      <c r="C100" s="7"/>
      <c r="D100" s="7"/>
      <c r="E100" s="8" t="s">
        <v>11</v>
      </c>
      <c r="F100" s="7"/>
    </row>
    <row r="101" spans="1:7" x14ac:dyDescent="0.25">
      <c r="A101" s="14" t="s">
        <v>100</v>
      </c>
      <c r="B101" s="31">
        <v>21.7</v>
      </c>
      <c r="C101" s="7" t="s">
        <v>6</v>
      </c>
      <c r="D101" s="8" t="s">
        <v>313</v>
      </c>
      <c r="E101" s="31">
        <v>25.6</v>
      </c>
      <c r="F101" s="7" t="s">
        <v>6</v>
      </c>
      <c r="G101" s="8" t="s">
        <v>313</v>
      </c>
    </row>
    <row r="102" spans="1:7" x14ac:dyDescent="0.25">
      <c r="A102" s="14" t="s">
        <v>134</v>
      </c>
      <c r="B102" s="41">
        <v>13.5</v>
      </c>
      <c r="C102" s="7" t="s">
        <v>309</v>
      </c>
      <c r="D102" s="8" t="s">
        <v>278</v>
      </c>
      <c r="E102" s="31">
        <v>8.1999999999999993</v>
      </c>
      <c r="F102" s="7"/>
      <c r="G102" s="8" t="s">
        <v>23</v>
      </c>
    </row>
    <row r="103" spans="1:7" x14ac:dyDescent="0.25">
      <c r="A103" s="14" t="s">
        <v>102</v>
      </c>
      <c r="B103" s="31">
        <v>32.6</v>
      </c>
      <c r="C103" s="7" t="s">
        <v>6</v>
      </c>
      <c r="D103" s="8" t="s">
        <v>305</v>
      </c>
      <c r="E103" s="31">
        <v>37.4</v>
      </c>
      <c r="F103" s="7" t="s">
        <v>6</v>
      </c>
      <c r="G103" s="8" t="s">
        <v>305</v>
      </c>
    </row>
    <row r="104" spans="1:7" x14ac:dyDescent="0.25">
      <c r="A104" s="14" t="s">
        <v>103</v>
      </c>
      <c r="B104" s="31">
        <v>62.5</v>
      </c>
      <c r="C104" s="7"/>
      <c r="D104" s="8" t="s">
        <v>12</v>
      </c>
      <c r="E104" s="31">
        <v>64.099999999999994</v>
      </c>
      <c r="F104" s="7"/>
      <c r="G104" s="8" t="s">
        <v>12</v>
      </c>
    </row>
    <row r="105" spans="1:7" x14ac:dyDescent="0.25">
      <c r="A105" s="14" t="s">
        <v>306</v>
      </c>
      <c r="B105" s="31">
        <v>14.7</v>
      </c>
      <c r="C105" s="7"/>
      <c r="D105" s="8" t="s">
        <v>211</v>
      </c>
      <c r="E105" s="31">
        <v>19.5</v>
      </c>
      <c r="F105" s="7"/>
      <c r="G105" s="8" t="s">
        <v>211</v>
      </c>
    </row>
    <row r="106" spans="1:7" x14ac:dyDescent="0.25">
      <c r="A106" s="14" t="s">
        <v>203</v>
      </c>
      <c r="B106" s="8" t="s">
        <v>11</v>
      </c>
      <c r="C106" s="7"/>
      <c r="D106" s="7"/>
      <c r="E106" s="8" t="s">
        <v>11</v>
      </c>
      <c r="F106" s="7"/>
    </row>
    <row r="107" spans="1:7" x14ac:dyDescent="0.25">
      <c r="A107" s="14" t="s">
        <v>139</v>
      </c>
      <c r="B107" s="41">
        <v>39.5</v>
      </c>
      <c r="C107" s="7" t="s">
        <v>309</v>
      </c>
      <c r="D107" s="8" t="s">
        <v>52</v>
      </c>
      <c r="E107" s="31">
        <v>10.3</v>
      </c>
      <c r="F107" s="7"/>
      <c r="G107" s="8" t="s">
        <v>314</v>
      </c>
    </row>
    <row r="108" spans="1:7" x14ac:dyDescent="0.25">
      <c r="A108" s="14" t="s">
        <v>104</v>
      </c>
      <c r="B108" s="31">
        <v>9.6999999999999993</v>
      </c>
      <c r="C108" s="7"/>
      <c r="D108" s="8" t="s">
        <v>314</v>
      </c>
      <c r="E108" s="31">
        <v>12.5</v>
      </c>
      <c r="F108" s="7"/>
      <c r="G108" s="8" t="s">
        <v>314</v>
      </c>
    </row>
    <row r="109" spans="1:7" x14ac:dyDescent="0.25">
      <c r="A109" s="14" t="s">
        <v>207</v>
      </c>
      <c r="B109" s="8" t="s">
        <v>11</v>
      </c>
      <c r="C109" s="7"/>
      <c r="D109" s="7"/>
      <c r="E109" s="8" t="s">
        <v>11</v>
      </c>
      <c r="F109" s="7"/>
    </row>
    <row r="110" spans="1:7" x14ac:dyDescent="0.25">
      <c r="A110" s="14" t="s">
        <v>143</v>
      </c>
      <c r="B110" s="8" t="s">
        <v>11</v>
      </c>
      <c r="C110" s="7"/>
      <c r="D110" s="7"/>
      <c r="E110" s="31">
        <v>7.1</v>
      </c>
      <c r="F110" s="7" t="s">
        <v>6</v>
      </c>
      <c r="G110" s="8" t="s">
        <v>279</v>
      </c>
    </row>
    <row r="111" spans="1:7" x14ac:dyDescent="0.25">
      <c r="A111" s="14" t="s">
        <v>106</v>
      </c>
      <c r="B111" s="31">
        <v>25.9</v>
      </c>
      <c r="C111" s="7"/>
      <c r="D111" s="8" t="s">
        <v>315</v>
      </c>
      <c r="E111" s="31">
        <v>30.8</v>
      </c>
      <c r="F111" s="7"/>
      <c r="G111" s="8" t="s">
        <v>315</v>
      </c>
    </row>
    <row r="112" spans="1:7" x14ac:dyDescent="0.25">
      <c r="A112" s="14" t="s">
        <v>109</v>
      </c>
      <c r="B112" s="31">
        <v>38.799999999999997</v>
      </c>
      <c r="C112" s="7"/>
      <c r="D112" s="8" t="s">
        <v>79</v>
      </c>
      <c r="E112" s="31">
        <v>45.3</v>
      </c>
      <c r="F112" s="7"/>
      <c r="G112" s="8" t="s">
        <v>79</v>
      </c>
    </row>
    <row r="113" spans="1:7" x14ac:dyDescent="0.25">
      <c r="A113" s="15" t="s">
        <v>213</v>
      </c>
      <c r="B113" s="8" t="s">
        <v>11</v>
      </c>
      <c r="C113" s="7"/>
      <c r="D113" s="7"/>
      <c r="E113" s="8" t="s">
        <v>11</v>
      </c>
      <c r="F113" s="7"/>
    </row>
    <row r="114" spans="1:7" x14ac:dyDescent="0.25">
      <c r="A114" s="15" t="s">
        <v>215</v>
      </c>
      <c r="B114" s="8" t="s">
        <v>11</v>
      </c>
      <c r="C114" s="7"/>
      <c r="D114" s="7"/>
      <c r="E114" s="8" t="s">
        <v>11</v>
      </c>
      <c r="F114" s="7"/>
    </row>
    <row r="115" spans="1:7" x14ac:dyDescent="0.25">
      <c r="A115" s="15" t="s">
        <v>216</v>
      </c>
      <c r="B115" s="8" t="s">
        <v>11</v>
      </c>
      <c r="C115" s="7"/>
      <c r="D115" s="7"/>
      <c r="E115" s="8" t="s">
        <v>11</v>
      </c>
      <c r="F115" s="7"/>
    </row>
    <row r="116" spans="1:7" x14ac:dyDescent="0.25">
      <c r="A116" s="15" t="s">
        <v>217</v>
      </c>
      <c r="B116" s="8" t="s">
        <v>11</v>
      </c>
      <c r="C116" s="7"/>
      <c r="D116" s="7"/>
      <c r="E116" s="8" t="s">
        <v>11</v>
      </c>
      <c r="F116" s="7"/>
    </row>
    <row r="117" spans="1:7" x14ac:dyDescent="0.25">
      <c r="A117" s="15" t="s">
        <v>110</v>
      </c>
      <c r="B117" s="41">
        <v>37.4</v>
      </c>
      <c r="C117" s="7"/>
      <c r="D117" s="8" t="s">
        <v>292</v>
      </c>
      <c r="E117" s="31">
        <v>44.8</v>
      </c>
      <c r="F117" s="7"/>
      <c r="G117" s="8" t="s">
        <v>292</v>
      </c>
    </row>
    <row r="118" spans="1:7" x14ac:dyDescent="0.25">
      <c r="A118" s="15" t="s">
        <v>112</v>
      </c>
      <c r="B118" s="31">
        <v>19.3</v>
      </c>
      <c r="C118" s="7"/>
      <c r="D118" s="8" t="s">
        <v>211</v>
      </c>
      <c r="E118" s="31">
        <v>23.9</v>
      </c>
      <c r="F118" s="7"/>
      <c r="G118" s="8" t="s">
        <v>211</v>
      </c>
    </row>
    <row r="119" spans="1:7" x14ac:dyDescent="0.25">
      <c r="A119" s="15" t="s">
        <v>219</v>
      </c>
      <c r="B119" s="8" t="s">
        <v>11</v>
      </c>
      <c r="C119" s="7"/>
      <c r="D119" s="7"/>
      <c r="E119" s="8" t="s">
        <v>11</v>
      </c>
      <c r="F119" s="7"/>
    </row>
    <row r="120" spans="1:7" x14ac:dyDescent="0.25">
      <c r="A120" s="15" t="s">
        <v>114</v>
      </c>
      <c r="B120" s="31">
        <v>32.799999999999997</v>
      </c>
      <c r="C120" s="7" t="s">
        <v>6</v>
      </c>
      <c r="D120" s="8" t="s">
        <v>36</v>
      </c>
      <c r="E120" s="31">
        <v>34.6</v>
      </c>
      <c r="F120" s="7" t="s">
        <v>6</v>
      </c>
      <c r="G120" s="8" t="s">
        <v>36</v>
      </c>
    </row>
    <row r="121" spans="1:7" x14ac:dyDescent="0.25">
      <c r="A121" s="15" t="s">
        <v>115</v>
      </c>
      <c r="B121" s="31">
        <v>50</v>
      </c>
      <c r="C121" s="7"/>
      <c r="D121" s="8" t="s">
        <v>43</v>
      </c>
      <c r="E121" s="31">
        <v>74.400000000000006</v>
      </c>
      <c r="F121" s="7"/>
      <c r="G121" s="8" t="s">
        <v>43</v>
      </c>
    </row>
    <row r="122" spans="1:7" x14ac:dyDescent="0.25">
      <c r="A122" s="15" t="s">
        <v>221</v>
      </c>
      <c r="B122" s="8" t="s">
        <v>11</v>
      </c>
      <c r="C122" s="7"/>
      <c r="D122" s="7"/>
      <c r="E122" s="8" t="s">
        <v>11</v>
      </c>
      <c r="F122" s="7"/>
    </row>
    <row r="123" spans="1:7" x14ac:dyDescent="0.25">
      <c r="A123" s="15" t="s">
        <v>117</v>
      </c>
      <c r="B123" s="31">
        <v>71.400000000000006</v>
      </c>
      <c r="C123" s="7" t="s">
        <v>28</v>
      </c>
      <c r="D123" s="8" t="s">
        <v>118</v>
      </c>
      <c r="E123" s="31">
        <v>47.4</v>
      </c>
      <c r="F123" s="7" t="s">
        <v>28</v>
      </c>
      <c r="G123" s="8" t="s">
        <v>118</v>
      </c>
    </row>
    <row r="124" spans="1:7" x14ac:dyDescent="0.25">
      <c r="A124" s="14" t="s">
        <v>120</v>
      </c>
      <c r="B124" s="41">
        <v>12.7</v>
      </c>
      <c r="C124" s="7"/>
      <c r="D124" s="8" t="s">
        <v>293</v>
      </c>
      <c r="E124" s="31">
        <v>28.3</v>
      </c>
      <c r="F124" s="7"/>
      <c r="G124" s="8" t="s">
        <v>293</v>
      </c>
    </row>
    <row r="125" spans="1:7" x14ac:dyDescent="0.25">
      <c r="A125" s="15" t="s">
        <v>222</v>
      </c>
      <c r="B125" s="8" t="s">
        <v>11</v>
      </c>
      <c r="C125" s="7"/>
      <c r="D125" s="7"/>
      <c r="E125" s="8" t="s">
        <v>11</v>
      </c>
      <c r="F125" s="7"/>
    </row>
    <row r="126" spans="1:7" x14ac:dyDescent="0.25">
      <c r="A126" s="15" t="s">
        <v>158</v>
      </c>
      <c r="B126" s="8" t="s">
        <v>11</v>
      </c>
      <c r="C126" s="7"/>
      <c r="D126" s="7"/>
      <c r="E126" s="31">
        <v>5.8</v>
      </c>
      <c r="F126" s="7"/>
      <c r="G126" s="8" t="s">
        <v>23</v>
      </c>
    </row>
    <row r="127" spans="1:7" x14ac:dyDescent="0.25">
      <c r="A127" s="15" t="s">
        <v>224</v>
      </c>
      <c r="B127" s="8" t="s">
        <v>11</v>
      </c>
      <c r="C127" s="7"/>
      <c r="D127" s="7"/>
      <c r="E127" s="8" t="s">
        <v>11</v>
      </c>
      <c r="F127" s="7"/>
    </row>
    <row r="128" spans="1:7" x14ac:dyDescent="0.25">
      <c r="A128" s="15" t="s">
        <v>226</v>
      </c>
      <c r="B128" s="8" t="s">
        <v>11</v>
      </c>
      <c r="C128" s="7"/>
      <c r="D128" s="7"/>
      <c r="E128" s="8" t="s">
        <v>11</v>
      </c>
      <c r="F128" s="7"/>
    </row>
    <row r="129" spans="1:7" x14ac:dyDescent="0.25">
      <c r="A129" s="14" t="s">
        <v>121</v>
      </c>
      <c r="B129" s="31">
        <v>2</v>
      </c>
      <c r="C129" s="7"/>
      <c r="D129" s="8" t="s">
        <v>314</v>
      </c>
      <c r="E129" s="31">
        <v>1.3</v>
      </c>
      <c r="F129" s="7"/>
      <c r="G129" s="8" t="s">
        <v>314</v>
      </c>
    </row>
    <row r="130" spans="1:7" x14ac:dyDescent="0.25">
      <c r="A130" s="14" t="s">
        <v>122</v>
      </c>
      <c r="B130" s="31">
        <v>14</v>
      </c>
      <c r="C130" s="7"/>
      <c r="D130" s="8" t="s">
        <v>107</v>
      </c>
      <c r="E130" s="31">
        <v>2.2000000000000002</v>
      </c>
      <c r="F130" s="7"/>
      <c r="G130" s="8" t="s">
        <v>107</v>
      </c>
    </row>
    <row r="131" spans="1:7" x14ac:dyDescent="0.25">
      <c r="A131" s="14" t="s">
        <v>229</v>
      </c>
      <c r="B131" s="8" t="s">
        <v>11</v>
      </c>
      <c r="C131" s="7"/>
      <c r="D131" s="7"/>
      <c r="E131" s="8" t="s">
        <v>11</v>
      </c>
      <c r="F131" s="7"/>
    </row>
    <row r="132" spans="1:7" x14ac:dyDescent="0.25">
      <c r="A132" s="14" t="s">
        <v>163</v>
      </c>
      <c r="B132" s="8" t="s">
        <v>11</v>
      </c>
      <c r="C132" s="7"/>
      <c r="D132" s="7"/>
      <c r="E132" s="31">
        <v>63.9</v>
      </c>
      <c r="F132" s="7" t="s">
        <v>28</v>
      </c>
      <c r="G132" s="8" t="s">
        <v>164</v>
      </c>
    </row>
    <row r="133" spans="1:7" x14ac:dyDescent="0.25">
      <c r="A133" s="15" t="s">
        <v>125</v>
      </c>
      <c r="B133" s="31">
        <v>21</v>
      </c>
      <c r="C133" s="7" t="s">
        <v>6</v>
      </c>
      <c r="D133" s="8" t="s">
        <v>316</v>
      </c>
      <c r="E133" s="31">
        <v>16.8</v>
      </c>
      <c r="F133" s="7" t="s">
        <v>6</v>
      </c>
      <c r="G133" s="8" t="s">
        <v>316</v>
      </c>
    </row>
    <row r="134" spans="1:7" x14ac:dyDescent="0.25">
      <c r="A134" s="15" t="s">
        <v>130</v>
      </c>
      <c r="B134" s="31">
        <v>57.1</v>
      </c>
      <c r="C134" s="7"/>
      <c r="D134" s="8" t="s">
        <v>14</v>
      </c>
      <c r="E134" s="31">
        <v>52.6</v>
      </c>
      <c r="F134" s="7"/>
      <c r="G134" s="8" t="s">
        <v>14</v>
      </c>
    </row>
    <row r="135" spans="1:7" x14ac:dyDescent="0.25">
      <c r="A135" s="15" t="s">
        <v>132</v>
      </c>
      <c r="B135" s="31">
        <v>29.5</v>
      </c>
      <c r="C135" s="7" t="s">
        <v>28</v>
      </c>
      <c r="D135" s="8" t="s">
        <v>133</v>
      </c>
      <c r="E135" s="31">
        <v>28.3</v>
      </c>
      <c r="F135" s="7" t="s">
        <v>28</v>
      </c>
      <c r="G135" s="8" t="s">
        <v>133</v>
      </c>
    </row>
    <row r="136" spans="1:7" x14ac:dyDescent="0.25">
      <c r="A136" s="15" t="s">
        <v>230</v>
      </c>
      <c r="B136" s="8" t="s">
        <v>11</v>
      </c>
      <c r="C136" s="7"/>
      <c r="D136" s="7"/>
      <c r="E136" s="8" t="s">
        <v>11</v>
      </c>
      <c r="F136" s="7"/>
    </row>
    <row r="137" spans="1:7" x14ac:dyDescent="0.25">
      <c r="A137" s="15" t="s">
        <v>135</v>
      </c>
      <c r="B137" s="31">
        <v>24.2</v>
      </c>
      <c r="C137" s="7"/>
      <c r="D137" s="8" t="s">
        <v>305</v>
      </c>
      <c r="E137" s="31">
        <v>20.8</v>
      </c>
      <c r="F137" s="7"/>
      <c r="G137" s="8" t="s">
        <v>305</v>
      </c>
    </row>
    <row r="138" spans="1:7" x14ac:dyDescent="0.25">
      <c r="A138" s="15" t="s">
        <v>286</v>
      </c>
      <c r="B138" s="8" t="s">
        <v>11</v>
      </c>
      <c r="C138" s="7"/>
      <c r="D138" s="7"/>
      <c r="E138" s="8" t="s">
        <v>11</v>
      </c>
      <c r="F138" s="7"/>
    </row>
    <row r="139" spans="1:7" x14ac:dyDescent="0.25">
      <c r="A139" s="15" t="s">
        <v>231</v>
      </c>
      <c r="B139" s="8" t="s">
        <v>11</v>
      </c>
      <c r="C139" s="7"/>
      <c r="D139" s="7"/>
      <c r="E139" s="8" t="s">
        <v>11</v>
      </c>
      <c r="F139" s="7"/>
    </row>
    <row r="140" spans="1:7" x14ac:dyDescent="0.25">
      <c r="A140" s="15" t="s">
        <v>172</v>
      </c>
      <c r="B140" s="8" t="s">
        <v>11</v>
      </c>
      <c r="C140" s="7"/>
      <c r="D140" s="7"/>
      <c r="E140" s="31">
        <v>8.1</v>
      </c>
      <c r="F140" s="7" t="s">
        <v>209</v>
      </c>
      <c r="G140" s="8" t="s">
        <v>94</v>
      </c>
    </row>
    <row r="141" spans="1:7" x14ac:dyDescent="0.25">
      <c r="A141" s="14" t="s">
        <v>137</v>
      </c>
      <c r="B141" s="31">
        <v>28.4</v>
      </c>
      <c r="C141" s="7" t="s">
        <v>6</v>
      </c>
      <c r="D141" s="8" t="s">
        <v>294</v>
      </c>
      <c r="E141" s="31">
        <v>30.1</v>
      </c>
      <c r="F141" s="7" t="s">
        <v>6</v>
      </c>
      <c r="G141" s="8" t="s">
        <v>294</v>
      </c>
    </row>
    <row r="142" spans="1:7" x14ac:dyDescent="0.25">
      <c r="A142" s="14" t="s">
        <v>138</v>
      </c>
      <c r="B142" s="31">
        <v>27.4</v>
      </c>
      <c r="C142" s="7" t="s">
        <v>6</v>
      </c>
      <c r="D142" s="8" t="s">
        <v>290</v>
      </c>
      <c r="E142" s="31">
        <v>29.3</v>
      </c>
      <c r="F142" s="7" t="s">
        <v>6</v>
      </c>
      <c r="G142" s="8" t="s">
        <v>290</v>
      </c>
    </row>
    <row r="143" spans="1:7" x14ac:dyDescent="0.25">
      <c r="A143" s="15" t="s">
        <v>232</v>
      </c>
      <c r="B143" s="8" t="s">
        <v>11</v>
      </c>
      <c r="C143" s="7"/>
      <c r="D143" s="7"/>
      <c r="E143" s="8" t="s">
        <v>11</v>
      </c>
      <c r="F143" s="7"/>
    </row>
    <row r="144" spans="1:7" x14ac:dyDescent="0.25">
      <c r="A144" s="15" t="s">
        <v>177</v>
      </c>
      <c r="B144" s="8" t="s">
        <v>11</v>
      </c>
      <c r="C144" s="7"/>
      <c r="D144" s="7"/>
      <c r="E144" s="31">
        <v>11.3</v>
      </c>
      <c r="F144" s="7"/>
      <c r="G144" s="8" t="s">
        <v>12</v>
      </c>
    </row>
    <row r="145" spans="1:7" x14ac:dyDescent="0.25">
      <c r="A145" s="15" t="s">
        <v>233</v>
      </c>
      <c r="B145" s="8" t="s">
        <v>11</v>
      </c>
      <c r="C145" s="7"/>
      <c r="D145" s="7"/>
      <c r="E145" s="8" t="s">
        <v>11</v>
      </c>
      <c r="F145" s="7"/>
    </row>
    <row r="146" spans="1:7" x14ac:dyDescent="0.25">
      <c r="A146" s="15" t="s">
        <v>179</v>
      </c>
      <c r="B146" s="8" t="s">
        <v>11</v>
      </c>
      <c r="C146" s="7"/>
      <c r="D146" s="7"/>
      <c r="E146" s="31">
        <v>9.6</v>
      </c>
      <c r="F146" s="7" t="s">
        <v>28</v>
      </c>
      <c r="G146" s="8" t="s">
        <v>69</v>
      </c>
    </row>
    <row r="147" spans="1:7" x14ac:dyDescent="0.25">
      <c r="A147" s="15" t="s">
        <v>140</v>
      </c>
      <c r="B147" s="31">
        <v>58.1</v>
      </c>
      <c r="C147" s="7" t="s">
        <v>234</v>
      </c>
      <c r="D147" s="8" t="s">
        <v>9</v>
      </c>
      <c r="E147" s="31">
        <v>50.7</v>
      </c>
      <c r="F147" s="7" t="s">
        <v>6</v>
      </c>
      <c r="G147" s="8" t="s">
        <v>9</v>
      </c>
    </row>
    <row r="148" spans="1:7" x14ac:dyDescent="0.25">
      <c r="A148" s="15" t="s">
        <v>235</v>
      </c>
      <c r="B148" s="8" t="s">
        <v>11</v>
      </c>
      <c r="C148" s="7"/>
      <c r="D148" s="7"/>
      <c r="E148" s="8" t="s">
        <v>11</v>
      </c>
      <c r="F148" s="7"/>
    </row>
    <row r="149" spans="1:7" x14ac:dyDescent="0.25">
      <c r="A149" s="15" t="s">
        <v>183</v>
      </c>
      <c r="B149" s="31">
        <v>22.6</v>
      </c>
      <c r="C149" s="7" t="s">
        <v>6</v>
      </c>
      <c r="D149" s="8" t="s">
        <v>280</v>
      </c>
      <c r="E149" s="31">
        <v>22.5</v>
      </c>
      <c r="F149" s="7" t="s">
        <v>6</v>
      </c>
      <c r="G149" s="8" t="s">
        <v>280</v>
      </c>
    </row>
    <row r="150" spans="1:7" x14ac:dyDescent="0.25">
      <c r="A150" s="15" t="s">
        <v>141</v>
      </c>
      <c r="B150" s="31">
        <v>72.099999999999994</v>
      </c>
      <c r="C150" s="7"/>
      <c r="D150" s="8" t="s">
        <v>142</v>
      </c>
      <c r="E150" s="31">
        <v>68.8</v>
      </c>
      <c r="F150" s="7"/>
      <c r="G150" s="8" t="s">
        <v>142</v>
      </c>
    </row>
    <row r="151" spans="1:7" x14ac:dyDescent="0.25">
      <c r="A151" s="15" t="s">
        <v>186</v>
      </c>
      <c r="B151" s="8" t="s">
        <v>11</v>
      </c>
      <c r="C151" s="7"/>
      <c r="D151" s="7"/>
      <c r="E151" s="31">
        <v>7.3</v>
      </c>
      <c r="F151" s="7"/>
      <c r="G151" s="8" t="s">
        <v>57</v>
      </c>
    </row>
    <row r="152" spans="1:7" x14ac:dyDescent="0.25">
      <c r="A152" s="15" t="s">
        <v>236</v>
      </c>
      <c r="B152" s="8" t="s">
        <v>11</v>
      </c>
      <c r="C152" s="7"/>
      <c r="D152" s="7"/>
      <c r="E152" s="8" t="s">
        <v>11</v>
      </c>
      <c r="F152" s="7"/>
    </row>
    <row r="153" spans="1:7" x14ac:dyDescent="0.25">
      <c r="A153" s="15" t="s">
        <v>188</v>
      </c>
      <c r="B153" s="8" t="s">
        <v>11</v>
      </c>
      <c r="C153" s="7"/>
      <c r="D153" s="7"/>
      <c r="E153" s="31">
        <v>10.7</v>
      </c>
      <c r="F153" s="7"/>
      <c r="G153" s="8" t="s">
        <v>305</v>
      </c>
    </row>
    <row r="154" spans="1:7" x14ac:dyDescent="0.25">
      <c r="A154" s="15" t="s">
        <v>237</v>
      </c>
      <c r="B154" s="8" t="s">
        <v>11</v>
      </c>
      <c r="C154" s="7"/>
      <c r="D154" s="7"/>
      <c r="E154" s="8" t="s">
        <v>11</v>
      </c>
      <c r="F154" s="7"/>
    </row>
    <row r="155" spans="1:7" x14ac:dyDescent="0.25">
      <c r="A155" s="15" t="s">
        <v>238</v>
      </c>
      <c r="B155" s="8" t="s">
        <v>11</v>
      </c>
      <c r="C155" s="7"/>
      <c r="D155" s="7"/>
      <c r="E155" s="8" t="s">
        <v>11</v>
      </c>
      <c r="F155" s="7"/>
    </row>
    <row r="156" spans="1:7" x14ac:dyDescent="0.25">
      <c r="A156" s="15" t="s">
        <v>144</v>
      </c>
      <c r="B156" s="31">
        <v>22.1</v>
      </c>
      <c r="C156" s="7" t="s">
        <v>28</v>
      </c>
      <c r="D156" s="8" t="s">
        <v>33</v>
      </c>
      <c r="E156" s="31">
        <v>5</v>
      </c>
      <c r="F156" s="7" t="s">
        <v>28</v>
      </c>
      <c r="G156" s="8" t="s">
        <v>33</v>
      </c>
    </row>
    <row r="157" spans="1:7" x14ac:dyDescent="0.25">
      <c r="A157" s="15" t="s">
        <v>239</v>
      </c>
      <c r="B157" s="8" t="s">
        <v>11</v>
      </c>
      <c r="C157" s="7"/>
      <c r="D157" s="7"/>
      <c r="E157" s="8" t="s">
        <v>11</v>
      </c>
      <c r="F157" s="7"/>
    </row>
    <row r="158" spans="1:7" x14ac:dyDescent="0.25">
      <c r="A158" s="14" t="s">
        <v>146</v>
      </c>
      <c r="B158" s="31">
        <v>14.2</v>
      </c>
      <c r="C158" s="7" t="s">
        <v>28</v>
      </c>
      <c r="D158" s="8" t="s">
        <v>33</v>
      </c>
      <c r="E158" s="31">
        <v>12.6</v>
      </c>
      <c r="F158" s="7" t="s">
        <v>28</v>
      </c>
      <c r="G158" s="8" t="s">
        <v>33</v>
      </c>
    </row>
    <row r="159" spans="1:7" x14ac:dyDescent="0.25">
      <c r="A159" s="15" t="s">
        <v>240</v>
      </c>
      <c r="B159" s="8" t="s">
        <v>11</v>
      </c>
      <c r="C159" s="7"/>
      <c r="D159" s="7"/>
      <c r="E159" s="8" t="s">
        <v>11</v>
      </c>
      <c r="F159" s="7"/>
    </row>
    <row r="160" spans="1:7" x14ac:dyDescent="0.25">
      <c r="A160" s="15" t="s">
        <v>241</v>
      </c>
      <c r="B160" s="8" t="s">
        <v>11</v>
      </c>
      <c r="C160" s="7"/>
      <c r="D160" s="7"/>
      <c r="E160" s="8" t="s">
        <v>11</v>
      </c>
      <c r="F160" s="7"/>
    </row>
    <row r="161" spans="1:7" x14ac:dyDescent="0.25">
      <c r="A161" s="15" t="s">
        <v>147</v>
      </c>
      <c r="B161" s="31">
        <v>23.8</v>
      </c>
      <c r="C161" s="7"/>
      <c r="D161" s="8" t="s">
        <v>79</v>
      </c>
      <c r="E161" s="31">
        <v>52.9</v>
      </c>
      <c r="F161" s="7"/>
      <c r="G161" s="8" t="s">
        <v>79</v>
      </c>
    </row>
    <row r="162" spans="1:7" x14ac:dyDescent="0.25">
      <c r="A162" s="15" t="s">
        <v>242</v>
      </c>
      <c r="B162" s="8" t="s">
        <v>11</v>
      </c>
      <c r="C162" s="7"/>
      <c r="D162" s="7"/>
      <c r="E162" s="8" t="s">
        <v>11</v>
      </c>
      <c r="F162" s="7"/>
    </row>
    <row r="163" spans="1:7" x14ac:dyDescent="0.25">
      <c r="A163" s="14" t="s">
        <v>196</v>
      </c>
      <c r="B163" s="8" t="s">
        <v>11</v>
      </c>
      <c r="C163" s="7"/>
      <c r="D163" s="7"/>
      <c r="E163" s="31">
        <v>15</v>
      </c>
      <c r="F163" s="7" t="s">
        <v>28</v>
      </c>
      <c r="G163" s="8" t="s">
        <v>33</v>
      </c>
    </row>
    <row r="164" spans="1:7" x14ac:dyDescent="0.25">
      <c r="A164" s="15" t="s">
        <v>243</v>
      </c>
      <c r="B164" s="8" t="s">
        <v>11</v>
      </c>
      <c r="C164" s="7"/>
      <c r="D164" s="7"/>
      <c r="E164" s="8" t="s">
        <v>11</v>
      </c>
      <c r="F164" s="7"/>
    </row>
    <row r="165" spans="1:7" x14ac:dyDescent="0.25">
      <c r="A165" s="15" t="s">
        <v>148</v>
      </c>
      <c r="B165" s="31">
        <v>21.9</v>
      </c>
      <c r="C165" s="7"/>
      <c r="D165" s="8" t="s">
        <v>211</v>
      </c>
      <c r="E165" s="31">
        <v>26.1</v>
      </c>
      <c r="F165" s="7"/>
      <c r="G165" s="8" t="s">
        <v>211</v>
      </c>
    </row>
    <row r="166" spans="1:7" x14ac:dyDescent="0.25">
      <c r="A166" s="15" t="s">
        <v>244</v>
      </c>
      <c r="B166" s="8" t="s">
        <v>11</v>
      </c>
      <c r="C166" s="7"/>
      <c r="D166" s="7"/>
      <c r="E166" s="8" t="s">
        <v>11</v>
      </c>
      <c r="F166" s="7"/>
    </row>
    <row r="167" spans="1:7" x14ac:dyDescent="0.25">
      <c r="A167" s="15" t="s">
        <v>150</v>
      </c>
      <c r="B167" s="31">
        <v>9.9</v>
      </c>
      <c r="C167" s="7"/>
      <c r="D167" s="8" t="s">
        <v>18</v>
      </c>
      <c r="E167" s="31">
        <v>17.399999999999999</v>
      </c>
      <c r="F167" s="7"/>
      <c r="G167" s="8" t="s">
        <v>18</v>
      </c>
    </row>
    <row r="168" spans="1:7" x14ac:dyDescent="0.25">
      <c r="A168" s="15" t="s">
        <v>245</v>
      </c>
      <c r="B168" s="8" t="s">
        <v>11</v>
      </c>
      <c r="C168" s="7"/>
      <c r="D168" s="7"/>
      <c r="E168" s="8" t="s">
        <v>11</v>
      </c>
      <c r="F168" s="7"/>
    </row>
    <row r="169" spans="1:7" x14ac:dyDescent="0.25">
      <c r="A169" s="15" t="s">
        <v>152</v>
      </c>
      <c r="B169" s="31">
        <v>16.3</v>
      </c>
      <c r="C169" s="7"/>
      <c r="D169" s="8" t="s">
        <v>317</v>
      </c>
      <c r="E169" s="31">
        <v>19.3</v>
      </c>
      <c r="F169" s="7"/>
      <c r="G169" s="8" t="s">
        <v>317</v>
      </c>
    </row>
    <row r="170" spans="1:7" x14ac:dyDescent="0.25">
      <c r="A170" s="14" t="s">
        <v>200</v>
      </c>
      <c r="B170" s="41">
        <v>5.6</v>
      </c>
      <c r="C170" s="7" t="s">
        <v>311</v>
      </c>
      <c r="D170" s="8" t="s">
        <v>45</v>
      </c>
      <c r="E170" s="31">
        <v>1.7</v>
      </c>
      <c r="F170" s="7"/>
      <c r="G170" s="8" t="s">
        <v>18</v>
      </c>
    </row>
    <row r="171" spans="1:7" x14ac:dyDescent="0.25">
      <c r="A171" s="15" t="s">
        <v>246</v>
      </c>
      <c r="B171" s="8" t="s">
        <v>11</v>
      </c>
      <c r="C171" s="7"/>
      <c r="D171" s="7"/>
      <c r="E171" s="8" t="s">
        <v>11</v>
      </c>
      <c r="F171" s="7"/>
    </row>
    <row r="172" spans="1:7" x14ac:dyDescent="0.25">
      <c r="A172" s="14" t="s">
        <v>155</v>
      </c>
      <c r="B172" s="31">
        <v>28.6</v>
      </c>
      <c r="C172" s="7"/>
      <c r="D172" s="8" t="s">
        <v>60</v>
      </c>
      <c r="E172" s="31">
        <v>43.9</v>
      </c>
      <c r="F172" s="7"/>
      <c r="G172" s="8" t="s">
        <v>60</v>
      </c>
    </row>
    <row r="173" spans="1:7" x14ac:dyDescent="0.25">
      <c r="A173" s="15" t="s">
        <v>247</v>
      </c>
      <c r="B173" s="8" t="s">
        <v>11</v>
      </c>
      <c r="C173" s="7"/>
      <c r="D173" s="7"/>
      <c r="E173" s="8" t="s">
        <v>11</v>
      </c>
      <c r="F173" s="7"/>
    </row>
    <row r="174" spans="1:7" x14ac:dyDescent="0.25">
      <c r="A174" s="15" t="s">
        <v>248</v>
      </c>
      <c r="B174" s="8" t="s">
        <v>11</v>
      </c>
      <c r="C174" s="7"/>
      <c r="D174" s="7"/>
      <c r="E174" s="8" t="s">
        <v>11</v>
      </c>
      <c r="F174" s="7"/>
    </row>
    <row r="175" spans="1:7" x14ac:dyDescent="0.25">
      <c r="A175" s="15" t="s">
        <v>249</v>
      </c>
      <c r="B175" s="8" t="s">
        <v>11</v>
      </c>
      <c r="C175" s="7"/>
      <c r="D175" s="7"/>
      <c r="E175" s="8" t="s">
        <v>11</v>
      </c>
      <c r="F175" s="7"/>
    </row>
    <row r="176" spans="1:7" x14ac:dyDescent="0.25">
      <c r="A176" s="14" t="s">
        <v>156</v>
      </c>
      <c r="B176" s="31">
        <v>59.7</v>
      </c>
      <c r="C176" s="7"/>
      <c r="D176" s="8" t="s">
        <v>7</v>
      </c>
      <c r="E176" s="31">
        <v>77.7</v>
      </c>
      <c r="F176" s="7"/>
      <c r="G176" s="8" t="s">
        <v>7</v>
      </c>
    </row>
    <row r="177" spans="1:7" x14ac:dyDescent="0.25">
      <c r="A177" s="15" t="s">
        <v>204</v>
      </c>
      <c r="B177" s="8" t="s">
        <v>11</v>
      </c>
      <c r="C177" s="7"/>
      <c r="D177" s="7"/>
      <c r="E177" s="31">
        <v>36.700000000000003</v>
      </c>
      <c r="F177" s="7" t="s">
        <v>6</v>
      </c>
      <c r="G177" s="8" t="s">
        <v>295</v>
      </c>
    </row>
    <row r="178" spans="1:7" x14ac:dyDescent="0.25">
      <c r="A178" s="15" t="s">
        <v>157</v>
      </c>
      <c r="B178" s="31">
        <v>14</v>
      </c>
      <c r="C178" s="7"/>
      <c r="D178" s="8" t="s">
        <v>72</v>
      </c>
      <c r="E178" s="31">
        <v>7.2</v>
      </c>
      <c r="F178" s="7"/>
      <c r="G178" s="8" t="s">
        <v>72</v>
      </c>
    </row>
    <row r="179" spans="1:7" x14ac:dyDescent="0.25">
      <c r="A179" s="15" t="s">
        <v>205</v>
      </c>
      <c r="B179" s="8" t="s">
        <v>11</v>
      </c>
      <c r="C179" s="7"/>
      <c r="D179" s="7"/>
      <c r="E179" s="31">
        <v>71.5</v>
      </c>
      <c r="F179" s="7" t="s">
        <v>28</v>
      </c>
      <c r="G179" s="8" t="s">
        <v>206</v>
      </c>
    </row>
    <row r="180" spans="1:7" x14ac:dyDescent="0.25">
      <c r="A180" s="15" t="s">
        <v>250</v>
      </c>
      <c r="B180" s="8" t="s">
        <v>11</v>
      </c>
      <c r="C180" s="7"/>
      <c r="D180" s="7"/>
      <c r="E180" s="8" t="s">
        <v>11</v>
      </c>
      <c r="F180" s="7"/>
    </row>
    <row r="181" spans="1:7" x14ac:dyDescent="0.25">
      <c r="A181" s="15" t="s">
        <v>208</v>
      </c>
      <c r="B181" s="8" t="s">
        <v>11</v>
      </c>
      <c r="C181" s="7"/>
      <c r="D181" s="7"/>
      <c r="E181" s="31">
        <v>22.3</v>
      </c>
      <c r="F181" s="7"/>
      <c r="G181" s="8" t="s">
        <v>281</v>
      </c>
    </row>
    <row r="182" spans="1:7" x14ac:dyDescent="0.25">
      <c r="A182" s="14" t="s">
        <v>210</v>
      </c>
      <c r="B182" s="8" t="s">
        <v>11</v>
      </c>
      <c r="C182" s="7"/>
      <c r="D182" s="7"/>
      <c r="E182" s="31">
        <v>17.600000000000001</v>
      </c>
      <c r="F182" s="7"/>
      <c r="G182" s="8" t="s">
        <v>211</v>
      </c>
    </row>
    <row r="183" spans="1:7" x14ac:dyDescent="0.25">
      <c r="A183" s="14" t="s">
        <v>212</v>
      </c>
      <c r="B183" s="8" t="s">
        <v>11</v>
      </c>
      <c r="C183" s="7"/>
      <c r="D183" s="7"/>
      <c r="E183" s="31">
        <v>35.5</v>
      </c>
      <c r="F183" s="7" t="s">
        <v>28</v>
      </c>
      <c r="G183" s="8" t="s">
        <v>69</v>
      </c>
    </row>
    <row r="184" spans="1:7" x14ac:dyDescent="0.25">
      <c r="A184" s="14" t="s">
        <v>159</v>
      </c>
      <c r="B184" s="31">
        <v>7.6</v>
      </c>
      <c r="C184" s="7"/>
      <c r="D184" s="8" t="s">
        <v>107</v>
      </c>
      <c r="E184" s="31">
        <v>6.4</v>
      </c>
      <c r="F184" s="7"/>
      <c r="G184" s="8" t="s">
        <v>107</v>
      </c>
    </row>
    <row r="185" spans="1:7" x14ac:dyDescent="0.25">
      <c r="A185" s="15" t="s">
        <v>251</v>
      </c>
      <c r="B185" s="8" t="s">
        <v>11</v>
      </c>
      <c r="C185" s="7"/>
      <c r="D185" s="7"/>
      <c r="E185" s="8" t="s">
        <v>11</v>
      </c>
      <c r="F185" s="7"/>
    </row>
    <row r="186" spans="1:7" x14ac:dyDescent="0.25">
      <c r="A186" s="15" t="s">
        <v>252</v>
      </c>
      <c r="B186" s="8" t="s">
        <v>11</v>
      </c>
      <c r="C186" s="7"/>
      <c r="D186" s="7"/>
      <c r="E186" s="8" t="s">
        <v>11</v>
      </c>
      <c r="F186" s="7"/>
    </row>
    <row r="187" spans="1:7" x14ac:dyDescent="0.25">
      <c r="A187" s="14" t="s">
        <v>253</v>
      </c>
      <c r="B187" s="8" t="s">
        <v>11</v>
      </c>
      <c r="C187" s="7"/>
      <c r="D187" s="7"/>
      <c r="E187" s="8" t="s">
        <v>11</v>
      </c>
      <c r="F187" s="7"/>
    </row>
    <row r="188" spans="1:7" x14ac:dyDescent="0.25">
      <c r="A188" s="14" t="s">
        <v>214</v>
      </c>
      <c r="B188" s="8" t="s">
        <v>11</v>
      </c>
      <c r="C188" s="7"/>
      <c r="D188" s="7"/>
      <c r="E188" s="31">
        <v>44.2</v>
      </c>
      <c r="F188" s="7"/>
      <c r="G188" s="8" t="s">
        <v>98</v>
      </c>
    </row>
    <row r="189" spans="1:7" x14ac:dyDescent="0.25">
      <c r="A189" s="14" t="s">
        <v>161</v>
      </c>
      <c r="B189" s="31">
        <v>4.0999999999999996</v>
      </c>
      <c r="C189" s="7"/>
      <c r="D189" s="8" t="s">
        <v>303</v>
      </c>
      <c r="E189" s="31">
        <v>2.2000000000000002</v>
      </c>
      <c r="F189" s="7"/>
      <c r="G189" s="8" t="s">
        <v>303</v>
      </c>
    </row>
    <row r="190" spans="1:7" ht="15.6" customHeight="1" x14ac:dyDescent="0.25">
      <c r="A190" s="15" t="s">
        <v>162</v>
      </c>
      <c r="B190" s="31">
        <v>48.2</v>
      </c>
      <c r="C190" s="7"/>
      <c r="D190" s="8" t="s">
        <v>72</v>
      </c>
      <c r="E190" s="31">
        <v>69</v>
      </c>
      <c r="F190" s="7"/>
      <c r="G190" s="8" t="s">
        <v>72</v>
      </c>
    </row>
    <row r="191" spans="1:7" ht="16.2" customHeight="1" x14ac:dyDescent="0.25">
      <c r="A191" s="14" t="s">
        <v>166</v>
      </c>
      <c r="B191" s="31">
        <v>22.2</v>
      </c>
      <c r="C191" s="7"/>
      <c r="D191" s="8" t="s">
        <v>60</v>
      </c>
      <c r="E191" s="31">
        <v>24.6</v>
      </c>
      <c r="F191" s="7"/>
      <c r="G191" s="8" t="s">
        <v>60</v>
      </c>
    </row>
    <row r="192" spans="1:7" ht="16.2" customHeight="1" x14ac:dyDescent="0.25">
      <c r="A192" s="14" t="s">
        <v>254</v>
      </c>
      <c r="B192" s="8" t="s">
        <v>11</v>
      </c>
      <c r="C192" s="7"/>
      <c r="D192" s="7"/>
      <c r="E192" s="8" t="s">
        <v>11</v>
      </c>
      <c r="F192" s="7"/>
    </row>
    <row r="193" spans="1:7" ht="16.2" customHeight="1" x14ac:dyDescent="0.25">
      <c r="A193" s="14" t="s">
        <v>168</v>
      </c>
      <c r="B193" s="31">
        <v>22</v>
      </c>
      <c r="C193" s="7"/>
      <c r="D193" s="8" t="s">
        <v>18</v>
      </c>
      <c r="E193" s="31">
        <v>30.7</v>
      </c>
      <c r="F193" s="7"/>
      <c r="G193" s="8" t="s">
        <v>18</v>
      </c>
    </row>
    <row r="194" spans="1:7" ht="15.6" customHeight="1" x14ac:dyDescent="0.25">
      <c r="A194" s="14" t="s">
        <v>218</v>
      </c>
      <c r="B194" s="8" t="s">
        <v>11</v>
      </c>
      <c r="C194" s="7"/>
      <c r="D194" s="7"/>
      <c r="E194" s="31">
        <v>7.6</v>
      </c>
      <c r="F194" s="7" t="s">
        <v>28</v>
      </c>
      <c r="G194" s="8" t="s">
        <v>111</v>
      </c>
    </row>
    <row r="195" spans="1:7" ht="14.4" customHeight="1" x14ac:dyDescent="0.25">
      <c r="A195" s="14" t="s">
        <v>169</v>
      </c>
      <c r="B195" s="31">
        <v>12.9</v>
      </c>
      <c r="C195" s="7"/>
      <c r="D195" s="8" t="s">
        <v>314</v>
      </c>
      <c r="E195" s="31">
        <v>4.5999999999999996</v>
      </c>
      <c r="F195" s="7"/>
      <c r="G195" s="8" t="s">
        <v>314</v>
      </c>
    </row>
    <row r="196" spans="1:7" ht="14.4" customHeight="1" x14ac:dyDescent="0.25">
      <c r="A196" s="15" t="s">
        <v>287</v>
      </c>
      <c r="B196" s="8" t="s">
        <v>11</v>
      </c>
      <c r="C196" s="7"/>
      <c r="D196" s="7"/>
      <c r="E196" s="31">
        <v>6.4</v>
      </c>
      <c r="F196" s="7"/>
      <c r="G196" s="8" t="s">
        <v>43</v>
      </c>
    </row>
    <row r="197" spans="1:7" ht="14.4" customHeight="1" x14ac:dyDescent="0.25">
      <c r="A197" s="15" t="s">
        <v>220</v>
      </c>
      <c r="B197" s="8" t="s">
        <v>11</v>
      </c>
      <c r="C197" s="7"/>
      <c r="D197" s="7"/>
      <c r="E197" s="31">
        <v>45.9</v>
      </c>
      <c r="F197" s="7"/>
      <c r="G197" s="8" t="s">
        <v>18</v>
      </c>
    </row>
    <row r="198" spans="1:7" ht="14.4" customHeight="1" x14ac:dyDescent="0.25">
      <c r="A198" s="15" t="s">
        <v>255</v>
      </c>
      <c r="B198" s="31">
        <v>3.6</v>
      </c>
      <c r="C198" s="7" t="s">
        <v>282</v>
      </c>
      <c r="D198" s="8" t="s">
        <v>211</v>
      </c>
      <c r="E198" s="31">
        <v>0</v>
      </c>
      <c r="F198" s="7"/>
      <c r="G198" s="8" t="s">
        <v>211</v>
      </c>
    </row>
    <row r="199" spans="1:7" ht="14.4" customHeight="1" x14ac:dyDescent="0.25">
      <c r="A199" s="15" t="s">
        <v>170</v>
      </c>
      <c r="B199" s="31">
        <v>51.5</v>
      </c>
      <c r="C199" s="7"/>
      <c r="D199" s="8" t="s">
        <v>211</v>
      </c>
      <c r="E199" s="31">
        <v>37.200000000000003</v>
      </c>
      <c r="F199" s="7"/>
      <c r="G199" s="8" t="s">
        <v>211</v>
      </c>
    </row>
    <row r="200" spans="1:7" ht="14.4" customHeight="1" x14ac:dyDescent="0.25">
      <c r="A200" s="15" t="s">
        <v>171</v>
      </c>
      <c r="B200" s="31">
        <v>53</v>
      </c>
      <c r="C200" s="7"/>
      <c r="D200" s="8" t="s">
        <v>72</v>
      </c>
      <c r="E200" s="31">
        <v>57.5</v>
      </c>
      <c r="F200" s="7"/>
      <c r="G200" s="8" t="s">
        <v>72</v>
      </c>
    </row>
    <row r="201" spans="1:7" ht="14.4" customHeight="1" x14ac:dyDescent="0.25">
      <c r="A201" s="14" t="s">
        <v>173</v>
      </c>
      <c r="B201" s="31">
        <v>1.6</v>
      </c>
      <c r="C201" s="7" t="s">
        <v>28</v>
      </c>
      <c r="D201" s="8" t="s">
        <v>33</v>
      </c>
      <c r="E201" s="31">
        <v>2.2000000000000002</v>
      </c>
      <c r="F201" s="7" t="s">
        <v>28</v>
      </c>
      <c r="G201" s="8" t="s">
        <v>33</v>
      </c>
    </row>
    <row r="202" spans="1:7" ht="14.4" customHeight="1" x14ac:dyDescent="0.25">
      <c r="A202" s="15" t="s">
        <v>256</v>
      </c>
      <c r="B202" s="8" t="s">
        <v>11</v>
      </c>
      <c r="C202" s="7"/>
      <c r="D202" s="7"/>
      <c r="E202" s="8" t="s">
        <v>11</v>
      </c>
      <c r="F202" s="7"/>
    </row>
    <row r="203" spans="1:7" ht="14.4" customHeight="1" x14ac:dyDescent="0.25">
      <c r="A203" s="15" t="s">
        <v>257</v>
      </c>
      <c r="B203" s="8" t="s">
        <v>11</v>
      </c>
      <c r="C203" s="7"/>
      <c r="D203" s="7"/>
      <c r="E203" s="8" t="s">
        <v>11</v>
      </c>
      <c r="F203" s="7"/>
    </row>
    <row r="204" spans="1:7" ht="14.4" customHeight="1" x14ac:dyDescent="0.25">
      <c r="A204" s="15" t="s">
        <v>174</v>
      </c>
      <c r="B204" s="31">
        <v>37.200000000000003</v>
      </c>
      <c r="C204" s="7"/>
      <c r="D204" s="8" t="s">
        <v>305</v>
      </c>
      <c r="E204" s="31">
        <v>47.4</v>
      </c>
      <c r="F204" s="7"/>
      <c r="G204" s="8" t="s">
        <v>305</v>
      </c>
    </row>
    <row r="205" spans="1:7" ht="14.4" customHeight="1" x14ac:dyDescent="0.25">
      <c r="A205" s="15" t="s">
        <v>258</v>
      </c>
      <c r="B205" s="8" t="s">
        <v>11</v>
      </c>
      <c r="C205" s="7"/>
      <c r="D205" s="7"/>
      <c r="E205" s="8" t="s">
        <v>11</v>
      </c>
      <c r="F205" s="7"/>
    </row>
    <row r="206" spans="1:7" ht="14.4" customHeight="1" x14ac:dyDescent="0.25">
      <c r="A206" s="15" t="s">
        <v>223</v>
      </c>
      <c r="B206" s="8" t="s">
        <v>11</v>
      </c>
      <c r="C206" s="7"/>
      <c r="D206" s="7"/>
      <c r="E206" s="31">
        <v>3.3</v>
      </c>
      <c r="F206" s="7" t="s">
        <v>28</v>
      </c>
      <c r="G206" s="8" t="s">
        <v>184</v>
      </c>
    </row>
    <row r="207" spans="1:7" ht="14.4" customHeight="1" x14ac:dyDescent="0.25">
      <c r="A207" s="15" t="s">
        <v>225</v>
      </c>
      <c r="B207" s="8" t="s">
        <v>11</v>
      </c>
      <c r="C207" s="7"/>
      <c r="D207" s="7"/>
      <c r="E207" s="31">
        <v>31.5</v>
      </c>
      <c r="F207" s="7"/>
      <c r="G207" s="8" t="s">
        <v>296</v>
      </c>
    </row>
    <row r="208" spans="1:7" ht="14.4" customHeight="1" x14ac:dyDescent="0.25">
      <c r="A208" s="14" t="s">
        <v>176</v>
      </c>
      <c r="B208" s="31">
        <v>59.5</v>
      </c>
      <c r="C208" s="7" t="s">
        <v>6</v>
      </c>
      <c r="D208" s="8" t="s">
        <v>314</v>
      </c>
      <c r="E208" s="31">
        <v>51.1</v>
      </c>
      <c r="F208" s="7" t="s">
        <v>6</v>
      </c>
      <c r="G208" s="8" t="s">
        <v>314</v>
      </c>
    </row>
    <row r="209" spans="1:7" ht="14.4" customHeight="1" x14ac:dyDescent="0.25">
      <c r="A209" s="15" t="s">
        <v>259</v>
      </c>
      <c r="B209" s="8" t="s">
        <v>11</v>
      </c>
      <c r="C209" s="7"/>
      <c r="D209" s="7"/>
      <c r="E209" s="8" t="s">
        <v>11</v>
      </c>
      <c r="F209" s="7"/>
    </row>
    <row r="210" spans="1:7" ht="14.4" customHeight="1" x14ac:dyDescent="0.25">
      <c r="A210" s="14" t="s">
        <v>227</v>
      </c>
      <c r="B210" s="31">
        <v>8.1999999999999993</v>
      </c>
      <c r="C210" s="7"/>
      <c r="D210" s="8" t="s">
        <v>297</v>
      </c>
      <c r="E210" s="31">
        <v>7.9</v>
      </c>
      <c r="F210" s="7"/>
      <c r="G210" s="8" t="s">
        <v>297</v>
      </c>
    </row>
    <row r="211" spans="1:7" ht="14.4" customHeight="1" x14ac:dyDescent="0.25">
      <c r="A211" s="14" t="s">
        <v>228</v>
      </c>
      <c r="B211" s="8" t="s">
        <v>11</v>
      </c>
      <c r="C211" s="7"/>
      <c r="D211" s="7"/>
      <c r="E211" s="31">
        <v>48.5</v>
      </c>
      <c r="F211" s="7" t="s">
        <v>28</v>
      </c>
      <c r="G211" s="8" t="s">
        <v>133</v>
      </c>
    </row>
    <row r="212" spans="1:7" ht="14.4" customHeight="1" x14ac:dyDescent="0.25">
      <c r="A212" s="15" t="s">
        <v>178</v>
      </c>
      <c r="B212" s="31">
        <v>31.5</v>
      </c>
      <c r="C212" s="7"/>
      <c r="D212" s="8" t="s">
        <v>43</v>
      </c>
      <c r="E212" s="31">
        <v>46.5</v>
      </c>
      <c r="F212" s="7"/>
      <c r="G212" s="8" t="s">
        <v>43</v>
      </c>
    </row>
    <row r="213" spans="1:7" ht="14.4" customHeight="1" x14ac:dyDescent="0.25">
      <c r="A213" s="15" t="s">
        <v>181</v>
      </c>
      <c r="B213" s="31">
        <v>48.9</v>
      </c>
      <c r="C213" s="7"/>
      <c r="D213" s="8" t="s">
        <v>7</v>
      </c>
      <c r="E213" s="31">
        <v>53.5</v>
      </c>
      <c r="F213" s="7"/>
      <c r="G213" s="8" t="s">
        <v>7</v>
      </c>
    </row>
    <row r="214" spans="1:7" ht="14.4" customHeight="1" x14ac:dyDescent="0.25">
      <c r="A214" s="14"/>
      <c r="B214" s="7"/>
      <c r="C214" s="7"/>
      <c r="D214" s="7"/>
      <c r="E214" s="7"/>
      <c r="F214" s="7"/>
    </row>
    <row r="215" spans="1:7" x14ac:dyDescent="0.25">
      <c r="A215" s="1" t="s">
        <v>260</v>
      </c>
      <c r="B215" s="40"/>
      <c r="C215" s="40"/>
      <c r="D215" s="40"/>
      <c r="E215" s="40"/>
      <c r="F215" s="40"/>
      <c r="G215" s="40"/>
    </row>
    <row r="216" spans="1:7" x14ac:dyDescent="0.25">
      <c r="A216" s="2" t="s">
        <v>193</v>
      </c>
      <c r="B216" s="8" t="s">
        <v>11</v>
      </c>
      <c r="C216" s="7"/>
      <c r="D216" s="7"/>
      <c r="E216" s="8" t="s">
        <v>11</v>
      </c>
      <c r="F216" s="7"/>
      <c r="G216" s="9"/>
    </row>
    <row r="217" spans="1:7" x14ac:dyDescent="0.25">
      <c r="A217" s="3" t="s">
        <v>197</v>
      </c>
      <c r="B217" s="8" t="s">
        <v>11</v>
      </c>
      <c r="C217" s="7"/>
      <c r="D217" s="7"/>
      <c r="E217" s="8" t="s">
        <v>11</v>
      </c>
      <c r="F217" s="7"/>
      <c r="G217" s="9"/>
    </row>
    <row r="218" spans="1:7" x14ac:dyDescent="0.25">
      <c r="A218" s="4" t="s">
        <v>308</v>
      </c>
      <c r="B218" s="8" t="s">
        <v>11</v>
      </c>
      <c r="C218" s="7"/>
      <c r="D218" s="7"/>
      <c r="E218" s="31">
        <v>14.972</v>
      </c>
      <c r="F218" s="7"/>
      <c r="G218" s="9" t="s">
        <v>298</v>
      </c>
    </row>
    <row r="219" spans="1:7" x14ac:dyDescent="0.25">
      <c r="A219" s="2" t="s">
        <v>274</v>
      </c>
      <c r="B219" s="8" t="s">
        <v>11</v>
      </c>
      <c r="C219" s="7"/>
      <c r="D219" s="7"/>
      <c r="E219" s="8" t="s">
        <v>11</v>
      </c>
      <c r="F219" s="7"/>
      <c r="G219" s="9"/>
    </row>
    <row r="220" spans="1:7" x14ac:dyDescent="0.25">
      <c r="A220" s="2" t="s">
        <v>195</v>
      </c>
      <c r="B220" s="8" t="s">
        <v>11</v>
      </c>
      <c r="C220" s="7"/>
      <c r="D220" s="7"/>
      <c r="E220" s="31">
        <v>7.7480000000000002</v>
      </c>
      <c r="F220" s="7"/>
      <c r="G220" s="9" t="s">
        <v>298</v>
      </c>
    </row>
    <row r="221" spans="1:7" x14ac:dyDescent="0.25">
      <c r="A221" s="2" t="s">
        <v>189</v>
      </c>
      <c r="B221" s="8" t="s">
        <v>11</v>
      </c>
      <c r="C221" s="7"/>
      <c r="D221" s="7"/>
      <c r="E221" s="31">
        <v>26.213999999999999</v>
      </c>
      <c r="F221" s="7"/>
      <c r="G221" s="9" t="s">
        <v>298</v>
      </c>
    </row>
    <row r="222" spans="1:7" x14ac:dyDescent="0.25">
      <c r="A222" s="2" t="s">
        <v>199</v>
      </c>
      <c r="B222" s="8" t="s">
        <v>11</v>
      </c>
      <c r="C222" s="7"/>
      <c r="D222" s="7"/>
      <c r="E222" s="8" t="s">
        <v>11</v>
      </c>
      <c r="F222" s="7"/>
      <c r="G222" s="9"/>
    </row>
    <row r="223" spans="1:7" x14ac:dyDescent="0.25">
      <c r="A223" s="2" t="s">
        <v>191</v>
      </c>
      <c r="B223" s="31">
        <v>39.765999999999998</v>
      </c>
      <c r="C223" s="7"/>
      <c r="D223" s="9" t="s">
        <v>298</v>
      </c>
      <c r="E223" s="31">
        <v>35.942999999999998</v>
      </c>
      <c r="F223" s="7"/>
      <c r="G223" s="9" t="s">
        <v>298</v>
      </c>
    </row>
    <row r="224" spans="1:7" x14ac:dyDescent="0.25">
      <c r="A224" s="3" t="s">
        <v>185</v>
      </c>
      <c r="B224" s="31">
        <v>33.090000000000003</v>
      </c>
      <c r="C224" s="7"/>
      <c r="D224" s="9" t="s">
        <v>298</v>
      </c>
      <c r="E224" s="31">
        <v>40.828000000000003</v>
      </c>
      <c r="F224" s="7"/>
      <c r="G224" s="9" t="s">
        <v>298</v>
      </c>
    </row>
    <row r="225" spans="1:7" x14ac:dyDescent="0.25">
      <c r="A225" s="4" t="s">
        <v>307</v>
      </c>
      <c r="B225" s="31">
        <v>32.491</v>
      </c>
      <c r="C225" s="7"/>
      <c r="D225" s="9" t="s">
        <v>298</v>
      </c>
      <c r="E225" s="31">
        <v>42.658999999999999</v>
      </c>
      <c r="F225" s="7"/>
      <c r="G225" s="9" t="s">
        <v>298</v>
      </c>
    </row>
    <row r="226" spans="1:7" x14ac:dyDescent="0.25">
      <c r="A226" s="2" t="s">
        <v>273</v>
      </c>
      <c r="B226" s="31">
        <v>33.622</v>
      </c>
      <c r="C226" s="7"/>
      <c r="D226" s="9" t="s">
        <v>298</v>
      </c>
      <c r="E226" s="31">
        <v>39.118000000000002</v>
      </c>
      <c r="F226" s="7"/>
      <c r="G226" s="9" t="s">
        <v>298</v>
      </c>
    </row>
    <row r="227" spans="1:7" x14ac:dyDescent="0.25">
      <c r="A227" s="2" t="s">
        <v>201</v>
      </c>
      <c r="B227" s="31">
        <v>38.091000000000001</v>
      </c>
      <c r="C227" s="7"/>
      <c r="D227" s="9" t="s">
        <v>298</v>
      </c>
      <c r="E227" s="31">
        <v>43.137999999999998</v>
      </c>
      <c r="F227" s="7"/>
      <c r="G227" s="9" t="s">
        <v>298</v>
      </c>
    </row>
    <row r="228" spans="1:7" x14ac:dyDescent="0.25">
      <c r="A228" s="5" t="s">
        <v>202</v>
      </c>
      <c r="B228" s="38">
        <v>34.584000000000003</v>
      </c>
      <c r="C228" s="10"/>
      <c r="D228" s="39" t="s">
        <v>298</v>
      </c>
      <c r="E228" s="38">
        <v>33.231999999999999</v>
      </c>
      <c r="F228" s="10"/>
      <c r="G228" s="39" t="s">
        <v>298</v>
      </c>
    </row>
    <row r="229" spans="1:7" ht="15" customHeight="1" x14ac:dyDescent="0.25">
      <c r="A229" s="16"/>
      <c r="B229" s="17"/>
      <c r="C229" s="18"/>
      <c r="D229" s="18"/>
      <c r="E229" s="17"/>
      <c r="F229" s="18"/>
    </row>
    <row r="230" spans="1:7" ht="15.6" customHeight="1" x14ac:dyDescent="0.25">
      <c r="A230" s="19" t="s">
        <v>261</v>
      </c>
      <c r="B230" s="20" t="s">
        <v>262</v>
      </c>
      <c r="C230" s="20"/>
      <c r="D230" s="20"/>
    </row>
    <row r="231" spans="1:7" ht="15.6" customHeight="1" x14ac:dyDescent="0.25">
      <c r="A231" s="19"/>
      <c r="B231" s="20" t="s">
        <v>263</v>
      </c>
      <c r="C231" s="20"/>
      <c r="D231" s="20"/>
    </row>
    <row r="232" spans="1:7" ht="15.6" customHeight="1" x14ac:dyDescent="0.25">
      <c r="A232" s="19"/>
      <c r="B232" s="20" t="s">
        <v>264</v>
      </c>
      <c r="C232" s="20"/>
      <c r="D232" s="20"/>
    </row>
    <row r="233" spans="1:7" ht="13.2" customHeight="1" x14ac:dyDescent="0.25">
      <c r="A233" s="15"/>
      <c r="B233" s="21" t="s">
        <v>265</v>
      </c>
      <c r="C233" s="21"/>
      <c r="D233" s="21"/>
    </row>
    <row r="234" spans="1:7" ht="13.2" customHeight="1" x14ac:dyDescent="0.25">
      <c r="A234" s="15"/>
      <c r="B234" s="22" t="s">
        <v>266</v>
      </c>
      <c r="C234" s="21"/>
      <c r="D234" s="21"/>
    </row>
    <row r="235" spans="1:7" ht="13.2" customHeight="1" x14ac:dyDescent="0.25">
      <c r="A235" s="15"/>
      <c r="B235" s="33" t="s">
        <v>323</v>
      </c>
      <c r="C235" s="21"/>
      <c r="D235" s="21"/>
    </row>
    <row r="236" spans="1:7" ht="15.6" customHeight="1" x14ac:dyDescent="0.25"/>
    <row r="237" spans="1:7" ht="14.4" customHeight="1" x14ac:dyDescent="0.25">
      <c r="A237" s="23" t="s">
        <v>267</v>
      </c>
      <c r="B237" s="9" t="s">
        <v>268</v>
      </c>
    </row>
    <row r="238" spans="1:7" ht="14.4" customHeight="1" x14ac:dyDescent="0.25"/>
    <row r="239" spans="1:7" ht="16.2" customHeight="1" x14ac:dyDescent="0.25">
      <c r="A239" s="23" t="s">
        <v>269</v>
      </c>
      <c r="B239" s="9" t="s">
        <v>324</v>
      </c>
    </row>
    <row r="240" spans="1:7" ht="16.2" customHeight="1" x14ac:dyDescent="0.25"/>
    <row r="241" spans="1:7" ht="15.6" customHeight="1" x14ac:dyDescent="0.25">
      <c r="A241" s="24" t="s">
        <v>270</v>
      </c>
      <c r="B241" s="28"/>
      <c r="C241" s="29"/>
      <c r="D241" s="29"/>
    </row>
    <row r="242" spans="1:7" ht="15" customHeight="1" x14ac:dyDescent="0.25">
      <c r="A242" s="6" t="s">
        <v>271</v>
      </c>
      <c r="B242" s="25" t="s">
        <v>272</v>
      </c>
      <c r="C242" s="25"/>
      <c r="D242" s="25"/>
    </row>
    <row r="243" spans="1:7" ht="19.95" customHeight="1" x14ac:dyDescent="0.25"/>
    <row r="244" spans="1:7" ht="19.95" customHeight="1" x14ac:dyDescent="0.25">
      <c r="A244" s="35">
        <v>1</v>
      </c>
      <c r="B244" s="36">
        <v>2</v>
      </c>
      <c r="C244" s="35">
        <v>3</v>
      </c>
      <c r="D244" s="36">
        <v>4</v>
      </c>
      <c r="E244" s="35">
        <v>5</v>
      </c>
      <c r="F244" s="36">
        <v>6</v>
      </c>
      <c r="G244" s="35">
        <v>7</v>
      </c>
    </row>
    <row r="245" spans="1:7" ht="19.95" customHeight="1" x14ac:dyDescent="0.25"/>
    <row r="246" spans="1:7" ht="19.95" customHeight="1" x14ac:dyDescent="0.25"/>
    <row r="247" spans="1:7" ht="19.95" customHeight="1" x14ac:dyDescent="0.25"/>
    <row r="248" spans="1:7" ht="19.95" customHeight="1" x14ac:dyDescent="0.25"/>
    <row r="249" spans="1:7" ht="19.95" customHeight="1" x14ac:dyDescent="0.25"/>
    <row r="250" spans="1:7" ht="19.95" customHeight="1" x14ac:dyDescent="0.25"/>
    <row r="251" spans="1:7" ht="19.95" customHeight="1" x14ac:dyDescent="0.25"/>
    <row r="252" spans="1:7" ht="19.95" customHeight="1" x14ac:dyDescent="0.25"/>
  </sheetData>
  <autoFilter ref="A10:W228" xr:uid="{FB1DB2B3-7089-414B-AC9F-0CE9DB5E7A2D}"/>
  <mergeCells count="8">
    <mergeCell ref="A8:A9"/>
    <mergeCell ref="B8:C9"/>
    <mergeCell ref="E8:F9"/>
    <mergeCell ref="G8:G9"/>
    <mergeCell ref="B1:F1"/>
    <mergeCell ref="B2:F2"/>
    <mergeCell ref="B7:F7"/>
    <mergeCell ref="D8:D9"/>
  </mergeCells>
  <hyperlinks>
    <hyperlink ref="B242" r:id="rId1" xr:uid="{352B7FC1-1E7B-4EE0-8C7E-74D132BFF16F}"/>
  </hyperlinks>
  <pageMargins left="0.7" right="0.7" top="0.75" bottom="0.75" header="0.3" footer="0.3"/>
  <pageSetup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943B5-95CC-49FB-BFD6-B3D6A54F4182}">
  <dimension ref="A1:W252"/>
  <sheetViews>
    <sheetView workbookViewId="0">
      <pane xSplit="1" ySplit="10" topLeftCell="B11" activePane="bottomRight" state="frozen"/>
      <selection pane="topRight" activeCell="B1" sqref="B1"/>
      <selection pane="bottomLeft" activeCell="A11" sqref="A11"/>
      <selection pane="bottomRight" activeCell="J11" sqref="J11:K11"/>
    </sheetView>
  </sheetViews>
  <sheetFormatPr defaultColWidth="8.88671875" defaultRowHeight="13.8" x14ac:dyDescent="0.25"/>
  <cols>
    <col min="1" max="1" width="31.88671875" style="7" customWidth="1"/>
    <col min="2" max="2" width="12.33203125" style="8" customWidth="1"/>
    <col min="3" max="3" width="2.88671875" style="9" customWidth="1"/>
    <col min="4" max="4" width="19" style="9" customWidth="1"/>
    <col min="5" max="5" width="8.88671875" style="8"/>
    <col min="6" max="6" width="3.33203125" style="9" customWidth="1"/>
    <col min="7" max="7" width="19" style="7" customWidth="1"/>
    <col min="8" max="16384" width="8.88671875" style="7"/>
  </cols>
  <sheetData>
    <row r="1" spans="1:23" ht="18" x14ac:dyDescent="0.25">
      <c r="A1" s="6"/>
      <c r="B1" s="54" t="s">
        <v>0</v>
      </c>
      <c r="C1" s="54"/>
      <c r="D1" s="54"/>
      <c r="E1" s="54"/>
      <c r="F1" s="54"/>
    </row>
    <row r="2" spans="1:23" x14ac:dyDescent="0.25">
      <c r="B2" s="55" t="s">
        <v>1</v>
      </c>
      <c r="C2" s="55"/>
      <c r="D2" s="55"/>
      <c r="E2" s="55"/>
      <c r="F2" s="55"/>
    </row>
    <row r="3" spans="1:23" x14ac:dyDescent="0.25">
      <c r="B3" s="26"/>
      <c r="C3" s="27"/>
      <c r="D3" s="27"/>
      <c r="E3" s="26"/>
      <c r="F3" s="27"/>
    </row>
    <row r="4" spans="1:23" ht="18" x14ac:dyDescent="0.35">
      <c r="A4" s="30" t="s">
        <v>2</v>
      </c>
      <c r="B4" s="26"/>
      <c r="C4" s="27"/>
      <c r="D4" s="27"/>
      <c r="E4" s="26"/>
      <c r="F4" s="27"/>
    </row>
    <row r="5" spans="1:23" x14ac:dyDescent="0.25">
      <c r="B5" s="26"/>
      <c r="C5" s="27"/>
      <c r="D5" s="27"/>
      <c r="E5" s="26"/>
      <c r="F5" s="27"/>
    </row>
    <row r="6" spans="1:23" x14ac:dyDescent="0.25">
      <c r="A6" s="6" t="s">
        <v>284</v>
      </c>
    </row>
    <row r="7" spans="1:23" ht="44.4" customHeight="1" x14ac:dyDescent="0.25">
      <c r="B7" s="56" t="s">
        <v>285</v>
      </c>
      <c r="C7" s="57"/>
      <c r="D7" s="57"/>
      <c r="E7" s="57"/>
      <c r="F7" s="58"/>
      <c r="G7" s="10"/>
      <c r="J7" s="56" t="s">
        <v>285</v>
      </c>
      <c r="K7" s="57"/>
      <c r="L7" s="57"/>
      <c r="M7" s="57"/>
      <c r="N7" s="58"/>
      <c r="O7" s="10"/>
      <c r="R7" s="7" t="s">
        <v>285</v>
      </c>
    </row>
    <row r="8" spans="1:23" ht="21" customHeight="1" x14ac:dyDescent="0.25">
      <c r="A8" s="42" t="s">
        <v>3</v>
      </c>
      <c r="B8" s="44" t="s">
        <v>300</v>
      </c>
      <c r="C8" s="45"/>
      <c r="D8" s="52" t="s">
        <v>4</v>
      </c>
      <c r="E8" s="48" t="s">
        <v>301</v>
      </c>
      <c r="F8" s="49"/>
      <c r="G8" s="52" t="s">
        <v>4</v>
      </c>
      <c r="J8" s="44" t="s">
        <v>300</v>
      </c>
      <c r="K8" s="45"/>
      <c r="L8" s="52" t="s">
        <v>4</v>
      </c>
      <c r="M8" s="48" t="s">
        <v>301</v>
      </c>
      <c r="N8" s="49"/>
      <c r="O8" s="52" t="s">
        <v>4</v>
      </c>
      <c r="R8" s="7" t="s">
        <v>300</v>
      </c>
      <c r="T8" s="7" t="s">
        <v>4</v>
      </c>
      <c r="U8" s="7" t="s">
        <v>301</v>
      </c>
      <c r="W8" s="7" t="s">
        <v>4</v>
      </c>
    </row>
    <row r="9" spans="1:23" ht="24.75" customHeight="1" x14ac:dyDescent="0.25">
      <c r="A9" s="43"/>
      <c r="B9" s="46"/>
      <c r="C9" s="47"/>
      <c r="D9" s="53"/>
      <c r="E9" s="50"/>
      <c r="F9" s="51"/>
      <c r="G9" s="53"/>
      <c r="J9" s="46"/>
      <c r="K9" s="47"/>
      <c r="L9" s="53"/>
      <c r="M9" s="50"/>
      <c r="N9" s="51"/>
      <c r="O9" s="53"/>
    </row>
    <row r="10" spans="1:23" x14ac:dyDescent="0.25">
      <c r="A10" s="11"/>
      <c r="B10" s="12"/>
      <c r="C10" s="12"/>
      <c r="D10" s="12"/>
      <c r="E10" s="13"/>
      <c r="F10" s="13"/>
      <c r="G10" s="13"/>
    </row>
    <row r="11" spans="1:23" x14ac:dyDescent="0.25">
      <c r="A11" s="14" t="s">
        <v>5</v>
      </c>
      <c r="B11" s="31">
        <v>70.599999999999994</v>
      </c>
      <c r="C11" s="7" t="s">
        <v>6</v>
      </c>
      <c r="D11" s="8" t="s">
        <v>7</v>
      </c>
      <c r="E11" s="31">
        <v>78.3</v>
      </c>
      <c r="F11" s="7" t="s">
        <v>6</v>
      </c>
      <c r="G11" s="8" t="s">
        <v>7</v>
      </c>
      <c r="J11" s="37">
        <f>IF(ISNUMBER(B11),B11-R11,"")</f>
        <v>0</v>
      </c>
      <c r="K11" s="37" t="b">
        <f>C11=S11</f>
        <v>1</v>
      </c>
      <c r="L11" s="37" t="b">
        <f>D11=T11</f>
        <v>1</v>
      </c>
      <c r="M11" s="37">
        <f>IF(ISNUMBER(E11),E11-U11,"")</f>
        <v>0</v>
      </c>
      <c r="N11" s="37" t="b">
        <f>F11=V11</f>
        <v>1</v>
      </c>
      <c r="O11" s="37" t="b">
        <f>G11=W11</f>
        <v>1</v>
      </c>
      <c r="R11" s="7">
        <v>70.599999999999994</v>
      </c>
      <c r="S11" s="7" t="s">
        <v>6</v>
      </c>
      <c r="T11" s="7" t="s">
        <v>7</v>
      </c>
      <c r="U11" s="7">
        <v>78.3</v>
      </c>
      <c r="V11" s="7" t="s">
        <v>6</v>
      </c>
      <c r="W11" s="7" t="s">
        <v>7</v>
      </c>
    </row>
    <row r="12" spans="1:23" x14ac:dyDescent="0.25">
      <c r="A12" s="14" t="s">
        <v>8</v>
      </c>
      <c r="B12" s="31">
        <v>10.9</v>
      </c>
      <c r="C12" s="7"/>
      <c r="D12" s="8" t="s">
        <v>9</v>
      </c>
      <c r="E12" s="31">
        <v>4.7</v>
      </c>
      <c r="F12" s="7"/>
      <c r="G12" s="8" t="s">
        <v>9</v>
      </c>
      <c r="J12" s="37">
        <f t="shared" ref="J12:J75" si="0">IF(ISNUMBER(B12),B12-R12,"")</f>
        <v>0</v>
      </c>
      <c r="K12" s="37" t="b">
        <f t="shared" ref="K12:K75" si="1">C12=S12</f>
        <v>1</v>
      </c>
      <c r="L12" s="37" t="b">
        <f t="shared" ref="L12:L75" si="2">D12=T12</f>
        <v>1</v>
      </c>
      <c r="M12" s="37">
        <f t="shared" ref="M12:M75" si="3">IF(ISNUMBER(E12),E12-U12,"")</f>
        <v>0</v>
      </c>
      <c r="N12" s="37" t="b">
        <f t="shared" ref="N12:N75" si="4">F12=V12</f>
        <v>1</v>
      </c>
      <c r="O12" s="37" t="b">
        <f t="shared" ref="O12:O75" si="5">G12=W12</f>
        <v>1</v>
      </c>
      <c r="R12" s="7">
        <v>10.9</v>
      </c>
      <c r="T12" s="7" t="s">
        <v>9</v>
      </c>
      <c r="U12" s="7">
        <v>4.7</v>
      </c>
      <c r="W12" s="7" t="s">
        <v>9</v>
      </c>
    </row>
    <row r="13" spans="1:23" x14ac:dyDescent="0.25">
      <c r="A13" s="14" t="s">
        <v>10</v>
      </c>
      <c r="B13" s="8" t="s">
        <v>11</v>
      </c>
      <c r="C13" s="7"/>
      <c r="D13" s="7"/>
      <c r="E13" s="31">
        <v>25.4</v>
      </c>
      <c r="F13" s="7"/>
      <c r="G13" s="8" t="s">
        <v>12</v>
      </c>
      <c r="J13" s="37" t="str">
        <f t="shared" si="0"/>
        <v/>
      </c>
      <c r="K13" s="37" t="b">
        <f t="shared" si="1"/>
        <v>1</v>
      </c>
      <c r="L13" s="37" t="b">
        <f t="shared" si="2"/>
        <v>1</v>
      </c>
      <c r="M13" s="37">
        <f t="shared" si="3"/>
        <v>0</v>
      </c>
      <c r="N13" s="37" t="b">
        <f t="shared" si="4"/>
        <v>1</v>
      </c>
      <c r="O13" s="37" t="b">
        <f t="shared" si="5"/>
        <v>1</v>
      </c>
      <c r="R13" s="7" t="s">
        <v>11</v>
      </c>
      <c r="U13" s="7">
        <v>25.4</v>
      </c>
      <c r="W13" s="7" t="s">
        <v>12</v>
      </c>
    </row>
    <row r="14" spans="1:23" x14ac:dyDescent="0.25">
      <c r="A14" s="15" t="s">
        <v>15</v>
      </c>
      <c r="B14" s="8" t="s">
        <v>11</v>
      </c>
      <c r="C14" s="7"/>
      <c r="D14" s="7"/>
      <c r="E14" s="8" t="s">
        <v>11</v>
      </c>
      <c r="F14" s="7"/>
      <c r="J14" s="37" t="str">
        <f t="shared" si="0"/>
        <v/>
      </c>
      <c r="K14" s="37" t="b">
        <f t="shared" si="1"/>
        <v>1</v>
      </c>
      <c r="L14" s="37" t="b">
        <f t="shared" si="2"/>
        <v>1</v>
      </c>
      <c r="M14" s="37" t="str">
        <f t="shared" si="3"/>
        <v/>
      </c>
      <c r="N14" s="37" t="b">
        <f t="shared" si="4"/>
        <v>1</v>
      </c>
      <c r="O14" s="37" t="b">
        <f t="shared" si="5"/>
        <v>1</v>
      </c>
      <c r="R14" s="7" t="s">
        <v>11</v>
      </c>
      <c r="U14" s="7" t="s">
        <v>11</v>
      </c>
    </row>
    <row r="15" spans="1:23" x14ac:dyDescent="0.25">
      <c r="A15" s="15" t="s">
        <v>13</v>
      </c>
      <c r="B15" s="31">
        <v>24</v>
      </c>
      <c r="C15" s="7"/>
      <c r="D15" s="8" t="s">
        <v>14</v>
      </c>
      <c r="E15" s="31">
        <v>24.7</v>
      </c>
      <c r="F15" s="7"/>
      <c r="G15" s="8" t="s">
        <v>14</v>
      </c>
      <c r="J15" s="37">
        <f t="shared" si="0"/>
        <v>0</v>
      </c>
      <c r="K15" s="37" t="b">
        <f t="shared" si="1"/>
        <v>1</v>
      </c>
      <c r="L15" s="37" t="b">
        <f t="shared" si="2"/>
        <v>1</v>
      </c>
      <c r="M15" s="37">
        <f t="shared" si="3"/>
        <v>0</v>
      </c>
      <c r="N15" s="37" t="b">
        <f t="shared" si="4"/>
        <v>1</v>
      </c>
      <c r="O15" s="37" t="b">
        <f t="shared" si="5"/>
        <v>1</v>
      </c>
      <c r="R15" s="7">
        <v>24</v>
      </c>
      <c r="T15" s="7" t="s">
        <v>14</v>
      </c>
      <c r="U15" s="7">
        <v>24.7</v>
      </c>
      <c r="W15" s="7" t="s">
        <v>14</v>
      </c>
    </row>
    <row r="16" spans="1:23" x14ac:dyDescent="0.25">
      <c r="A16" s="15" t="s">
        <v>21</v>
      </c>
      <c r="B16" s="8" t="s">
        <v>11</v>
      </c>
      <c r="C16" s="7"/>
      <c r="D16" s="7"/>
      <c r="E16" s="8" t="s">
        <v>11</v>
      </c>
      <c r="F16" s="7"/>
      <c r="J16" s="37" t="str">
        <f t="shared" si="0"/>
        <v/>
      </c>
      <c r="K16" s="37" t="b">
        <f t="shared" si="1"/>
        <v>1</v>
      </c>
      <c r="L16" s="37" t="b">
        <f t="shared" si="2"/>
        <v>1</v>
      </c>
      <c r="M16" s="37" t="str">
        <f t="shared" si="3"/>
        <v/>
      </c>
      <c r="N16" s="37" t="b">
        <f t="shared" si="4"/>
        <v>1</v>
      </c>
      <c r="O16" s="37" t="b">
        <f t="shared" si="5"/>
        <v>1</v>
      </c>
      <c r="R16" s="7" t="s">
        <v>11</v>
      </c>
      <c r="U16" s="7" t="s">
        <v>11</v>
      </c>
    </row>
    <row r="17" spans="1:23" x14ac:dyDescent="0.25">
      <c r="A17" s="15" t="s">
        <v>24</v>
      </c>
      <c r="B17" s="8" t="s">
        <v>11</v>
      </c>
      <c r="C17" s="7"/>
      <c r="D17" s="7"/>
      <c r="E17" s="8" t="s">
        <v>11</v>
      </c>
      <c r="F17" s="7"/>
      <c r="J17" s="37" t="str">
        <f t="shared" si="0"/>
        <v/>
      </c>
      <c r="K17" s="37" t="b">
        <f t="shared" si="1"/>
        <v>1</v>
      </c>
      <c r="L17" s="37" t="b">
        <f t="shared" si="2"/>
        <v>1</v>
      </c>
      <c r="M17" s="37" t="str">
        <f t="shared" si="3"/>
        <v/>
      </c>
      <c r="N17" s="37" t="b">
        <f t="shared" si="4"/>
        <v>1</v>
      </c>
      <c r="O17" s="37" t="b">
        <f t="shared" si="5"/>
        <v>1</v>
      </c>
      <c r="R17" s="7" t="s">
        <v>11</v>
      </c>
      <c r="U17" s="7" t="s">
        <v>11</v>
      </c>
    </row>
    <row r="18" spans="1:23" x14ac:dyDescent="0.25">
      <c r="A18" s="14" t="s">
        <v>19</v>
      </c>
      <c r="B18" s="8" t="s">
        <v>11</v>
      </c>
      <c r="C18" s="7"/>
      <c r="D18" s="7"/>
      <c r="E18" s="31">
        <v>3.5</v>
      </c>
      <c r="F18" s="7" t="s">
        <v>6</v>
      </c>
      <c r="G18" s="8" t="s">
        <v>211</v>
      </c>
      <c r="J18" s="37" t="str">
        <f t="shared" si="0"/>
        <v/>
      </c>
      <c r="K18" s="37" t="b">
        <f t="shared" si="1"/>
        <v>1</v>
      </c>
      <c r="L18" s="37" t="b">
        <f t="shared" si="2"/>
        <v>1</v>
      </c>
      <c r="M18" s="37">
        <f t="shared" si="3"/>
        <v>-1.7999999999999794E-2</v>
      </c>
      <c r="N18" s="37" t="b">
        <f t="shared" si="4"/>
        <v>1</v>
      </c>
      <c r="O18" s="37" t="b">
        <f t="shared" si="5"/>
        <v>1</v>
      </c>
      <c r="R18" s="7" t="s">
        <v>11</v>
      </c>
      <c r="U18" s="7">
        <v>3.5179999999999998</v>
      </c>
      <c r="V18" s="7" t="s">
        <v>6</v>
      </c>
      <c r="W18" s="7" t="s">
        <v>211</v>
      </c>
    </row>
    <row r="19" spans="1:23" x14ac:dyDescent="0.25">
      <c r="A19" s="14" t="s">
        <v>16</v>
      </c>
      <c r="B19" s="31">
        <v>24.7</v>
      </c>
      <c r="C19" s="7"/>
      <c r="D19" s="8" t="s">
        <v>14</v>
      </c>
      <c r="E19" s="31">
        <v>8.6999999999999993</v>
      </c>
      <c r="F19" s="7"/>
      <c r="G19" s="8" t="s">
        <v>14</v>
      </c>
      <c r="J19" s="37">
        <f t="shared" si="0"/>
        <v>0</v>
      </c>
      <c r="K19" s="37" t="b">
        <f t="shared" si="1"/>
        <v>1</v>
      </c>
      <c r="L19" s="37" t="b">
        <f t="shared" si="2"/>
        <v>1</v>
      </c>
      <c r="M19" s="37">
        <f t="shared" si="3"/>
        <v>0</v>
      </c>
      <c r="N19" s="37" t="b">
        <f t="shared" si="4"/>
        <v>1</v>
      </c>
      <c r="O19" s="37" t="b">
        <f t="shared" si="5"/>
        <v>1</v>
      </c>
      <c r="R19" s="7">
        <v>24.7</v>
      </c>
      <c r="T19" s="7" t="s">
        <v>14</v>
      </c>
      <c r="U19" s="7">
        <v>8.6999999999999993</v>
      </c>
      <c r="W19" s="7" t="s">
        <v>14</v>
      </c>
    </row>
    <row r="20" spans="1:23" x14ac:dyDescent="0.25">
      <c r="A20" s="15" t="s">
        <v>34</v>
      </c>
      <c r="B20" s="8" t="s">
        <v>11</v>
      </c>
      <c r="C20" s="7"/>
      <c r="D20" s="7"/>
      <c r="E20" s="8" t="s">
        <v>11</v>
      </c>
      <c r="F20" s="7"/>
      <c r="J20" s="37" t="str">
        <f t="shared" si="0"/>
        <v/>
      </c>
      <c r="K20" s="37" t="b">
        <f t="shared" si="1"/>
        <v>1</v>
      </c>
      <c r="L20" s="37" t="b">
        <f t="shared" si="2"/>
        <v>1</v>
      </c>
      <c r="M20" s="37" t="str">
        <f t="shared" si="3"/>
        <v/>
      </c>
      <c r="N20" s="37" t="b">
        <f t="shared" si="4"/>
        <v>1</v>
      </c>
      <c r="O20" s="37" t="b">
        <f t="shared" si="5"/>
        <v>1</v>
      </c>
      <c r="R20" s="7" t="s">
        <v>11</v>
      </c>
      <c r="U20" s="7" t="s">
        <v>11</v>
      </c>
    </row>
    <row r="21" spans="1:23" x14ac:dyDescent="0.25">
      <c r="A21" s="15" t="s">
        <v>37</v>
      </c>
      <c r="B21" s="8" t="s">
        <v>11</v>
      </c>
      <c r="C21" s="7"/>
      <c r="D21" s="7"/>
      <c r="E21" s="8" t="s">
        <v>11</v>
      </c>
      <c r="F21" s="7"/>
      <c r="J21" s="37" t="str">
        <f t="shared" si="0"/>
        <v/>
      </c>
      <c r="K21" s="37" t="b">
        <f t="shared" si="1"/>
        <v>1</v>
      </c>
      <c r="L21" s="37" t="b">
        <f t="shared" si="2"/>
        <v>1</v>
      </c>
      <c r="M21" s="37" t="str">
        <f t="shared" si="3"/>
        <v/>
      </c>
      <c r="N21" s="37" t="b">
        <f t="shared" si="4"/>
        <v>1</v>
      </c>
      <c r="O21" s="37" t="b">
        <f t="shared" si="5"/>
        <v>1</v>
      </c>
      <c r="R21" s="7" t="s">
        <v>11</v>
      </c>
      <c r="U21" s="7" t="s">
        <v>11</v>
      </c>
    </row>
    <row r="22" spans="1:23" x14ac:dyDescent="0.25">
      <c r="A22" s="14" t="s">
        <v>26</v>
      </c>
      <c r="B22" s="32">
        <v>63.1</v>
      </c>
      <c r="C22" s="7" t="s">
        <v>309</v>
      </c>
      <c r="D22" s="8" t="s">
        <v>275</v>
      </c>
      <c r="E22" s="31">
        <v>7.8</v>
      </c>
      <c r="F22" s="7"/>
      <c r="G22" s="8" t="s">
        <v>314</v>
      </c>
      <c r="J22" s="37">
        <f t="shared" si="0"/>
        <v>0</v>
      </c>
      <c r="K22" s="37" t="b">
        <f t="shared" si="1"/>
        <v>0</v>
      </c>
      <c r="L22" s="37" t="b">
        <f t="shared" si="2"/>
        <v>1</v>
      </c>
      <c r="M22" s="37">
        <f t="shared" si="3"/>
        <v>-16</v>
      </c>
      <c r="N22" s="37" t="b">
        <f t="shared" si="4"/>
        <v>0</v>
      </c>
      <c r="O22" s="37" t="b">
        <f t="shared" si="5"/>
        <v>0</v>
      </c>
      <c r="R22" s="7">
        <v>63.1</v>
      </c>
      <c r="S22" s="7" t="s">
        <v>28</v>
      </c>
      <c r="T22" s="7" t="s">
        <v>275</v>
      </c>
      <c r="U22" s="7">
        <v>23.8</v>
      </c>
      <c r="V22" s="7" t="s">
        <v>28</v>
      </c>
      <c r="W22" s="7" t="s">
        <v>27</v>
      </c>
    </row>
    <row r="23" spans="1:23" x14ac:dyDescent="0.25">
      <c r="A23" s="15" t="s">
        <v>41</v>
      </c>
      <c r="B23" s="8" t="s">
        <v>11</v>
      </c>
      <c r="C23" s="7"/>
      <c r="D23" s="7"/>
      <c r="E23" s="8" t="s">
        <v>11</v>
      </c>
      <c r="F23" s="7"/>
      <c r="J23" s="37" t="str">
        <f t="shared" si="0"/>
        <v/>
      </c>
      <c r="K23" s="37" t="b">
        <f t="shared" si="1"/>
        <v>1</v>
      </c>
      <c r="L23" s="37" t="b">
        <f t="shared" si="2"/>
        <v>1</v>
      </c>
      <c r="M23" s="37" t="str">
        <f t="shared" si="3"/>
        <v/>
      </c>
      <c r="N23" s="37" t="b">
        <f t="shared" si="4"/>
        <v>1</v>
      </c>
      <c r="O23" s="37" t="b">
        <f t="shared" si="5"/>
        <v>1</v>
      </c>
      <c r="R23" s="7" t="s">
        <v>11</v>
      </c>
      <c r="U23" s="7" t="s">
        <v>11</v>
      </c>
    </row>
    <row r="24" spans="1:23" x14ac:dyDescent="0.25">
      <c r="A24" s="15" t="s">
        <v>46</v>
      </c>
      <c r="B24" s="8" t="s">
        <v>11</v>
      </c>
      <c r="C24" s="7"/>
      <c r="D24" s="7"/>
      <c r="E24" s="8" t="s">
        <v>11</v>
      </c>
      <c r="F24" s="7"/>
      <c r="J24" s="37" t="str">
        <f t="shared" si="0"/>
        <v/>
      </c>
      <c r="K24" s="37" t="b">
        <f t="shared" si="1"/>
        <v>1</v>
      </c>
      <c r="L24" s="37" t="b">
        <f t="shared" si="2"/>
        <v>1</v>
      </c>
      <c r="M24" s="37" t="str">
        <f t="shared" si="3"/>
        <v/>
      </c>
      <c r="N24" s="37" t="b">
        <f t="shared" si="4"/>
        <v>1</v>
      </c>
      <c r="O24" s="37" t="b">
        <f t="shared" si="5"/>
        <v>1</v>
      </c>
      <c r="R24" s="7" t="s">
        <v>11</v>
      </c>
      <c r="U24" s="7" t="s">
        <v>11</v>
      </c>
    </row>
    <row r="25" spans="1:23" x14ac:dyDescent="0.25">
      <c r="A25" s="15" t="s">
        <v>30</v>
      </c>
      <c r="B25" s="8" t="s">
        <v>11</v>
      </c>
      <c r="C25" s="7"/>
      <c r="D25" s="7"/>
      <c r="E25" s="31">
        <v>13.2</v>
      </c>
      <c r="F25" s="7" t="s">
        <v>6</v>
      </c>
      <c r="G25" s="8" t="s">
        <v>305</v>
      </c>
      <c r="J25" s="37" t="str">
        <f t="shared" si="0"/>
        <v/>
      </c>
      <c r="K25" s="37" t="b">
        <f t="shared" si="1"/>
        <v>1</v>
      </c>
      <c r="L25" s="37" t="b">
        <f t="shared" si="2"/>
        <v>1</v>
      </c>
      <c r="M25" s="37">
        <f t="shared" si="3"/>
        <v>-4.1999999999999993</v>
      </c>
      <c r="N25" s="37" t="b">
        <f t="shared" si="4"/>
        <v>0</v>
      </c>
      <c r="O25" s="37" t="b">
        <f t="shared" si="5"/>
        <v>0</v>
      </c>
      <c r="R25" s="7" t="s">
        <v>11</v>
      </c>
      <c r="U25" s="7">
        <v>17.399999999999999</v>
      </c>
      <c r="W25" s="7" t="s">
        <v>18</v>
      </c>
    </row>
    <row r="26" spans="1:23" x14ac:dyDescent="0.25">
      <c r="A26" s="14" t="s">
        <v>32</v>
      </c>
      <c r="B26" s="8" t="s">
        <v>11</v>
      </c>
      <c r="C26" s="7"/>
      <c r="D26" s="7"/>
      <c r="E26" s="31">
        <v>4.9000000000000004</v>
      </c>
      <c r="F26" s="7" t="s">
        <v>28</v>
      </c>
      <c r="G26" s="8" t="s">
        <v>33</v>
      </c>
      <c r="J26" s="37" t="str">
        <f t="shared" si="0"/>
        <v/>
      </c>
      <c r="K26" s="37" t="b">
        <f t="shared" si="1"/>
        <v>1</v>
      </c>
      <c r="L26" s="37" t="b">
        <f t="shared" si="2"/>
        <v>1</v>
      </c>
      <c r="M26" s="37">
        <f t="shared" si="3"/>
        <v>0</v>
      </c>
      <c r="N26" s="37" t="b">
        <f t="shared" si="4"/>
        <v>1</v>
      </c>
      <c r="O26" s="37" t="b">
        <f t="shared" si="5"/>
        <v>1</v>
      </c>
      <c r="R26" s="7" t="s">
        <v>11</v>
      </c>
      <c r="U26" s="7">
        <v>4.9000000000000004</v>
      </c>
      <c r="V26" s="7" t="s">
        <v>28</v>
      </c>
      <c r="W26" s="7" t="s">
        <v>33</v>
      </c>
    </row>
    <row r="27" spans="1:23" x14ac:dyDescent="0.25">
      <c r="A27" s="14" t="s">
        <v>17</v>
      </c>
      <c r="B27" s="31">
        <v>0.2</v>
      </c>
      <c r="C27" s="7"/>
      <c r="D27" s="8" t="s">
        <v>18</v>
      </c>
      <c r="E27" s="31">
        <v>1.2</v>
      </c>
      <c r="F27" s="7"/>
      <c r="G27" s="8" t="s">
        <v>18</v>
      </c>
      <c r="J27" s="37">
        <f t="shared" si="0"/>
        <v>0</v>
      </c>
      <c r="K27" s="37" t="b">
        <f t="shared" si="1"/>
        <v>1</v>
      </c>
      <c r="L27" s="37" t="b">
        <f t="shared" si="2"/>
        <v>1</v>
      </c>
      <c r="M27" s="37">
        <f t="shared" si="3"/>
        <v>0</v>
      </c>
      <c r="N27" s="37" t="b">
        <f t="shared" si="4"/>
        <v>1</v>
      </c>
      <c r="O27" s="37" t="b">
        <f t="shared" si="5"/>
        <v>1</v>
      </c>
      <c r="R27" s="7">
        <v>0.2</v>
      </c>
      <c r="T27" s="7" t="s">
        <v>18</v>
      </c>
      <c r="U27" s="7">
        <v>1.2</v>
      </c>
      <c r="W27" s="7" t="s">
        <v>18</v>
      </c>
    </row>
    <row r="28" spans="1:23" x14ac:dyDescent="0.25">
      <c r="A28" s="14" t="s">
        <v>55</v>
      </c>
      <c r="B28" s="8" t="s">
        <v>11</v>
      </c>
      <c r="C28" s="7"/>
      <c r="D28" s="7"/>
      <c r="E28" s="8" t="s">
        <v>11</v>
      </c>
      <c r="F28" s="7"/>
      <c r="J28" s="37" t="str">
        <f t="shared" si="0"/>
        <v/>
      </c>
      <c r="K28" s="37" t="b">
        <f t="shared" si="1"/>
        <v>1</v>
      </c>
      <c r="L28" s="37" t="b">
        <f t="shared" si="2"/>
        <v>1</v>
      </c>
      <c r="M28" s="37" t="str">
        <f t="shared" si="3"/>
        <v/>
      </c>
      <c r="N28" s="37" t="b">
        <f t="shared" si="4"/>
        <v>1</v>
      </c>
      <c r="O28" s="37" t="b">
        <f t="shared" si="5"/>
        <v>1</v>
      </c>
      <c r="R28" s="7" t="s">
        <v>11</v>
      </c>
      <c r="U28" s="7" t="s">
        <v>11</v>
      </c>
    </row>
    <row r="29" spans="1:23" x14ac:dyDescent="0.25">
      <c r="A29" s="14" t="s">
        <v>22</v>
      </c>
      <c r="B29" s="31">
        <v>7.8</v>
      </c>
      <c r="C29" s="7"/>
      <c r="D29" s="8" t="s">
        <v>279</v>
      </c>
      <c r="E29" s="31">
        <v>6.3</v>
      </c>
      <c r="F29" s="7"/>
      <c r="G29" s="8" t="s">
        <v>279</v>
      </c>
      <c r="J29" s="37">
        <f t="shared" si="0"/>
        <v>0</v>
      </c>
      <c r="K29" s="37" t="b">
        <f t="shared" si="1"/>
        <v>1</v>
      </c>
      <c r="L29" s="37" t="b">
        <f t="shared" si="2"/>
        <v>1</v>
      </c>
      <c r="M29" s="37">
        <f t="shared" si="3"/>
        <v>0</v>
      </c>
      <c r="N29" s="37" t="b">
        <f t="shared" si="4"/>
        <v>1</v>
      </c>
      <c r="O29" s="37" t="b">
        <f t="shared" si="5"/>
        <v>1</v>
      </c>
      <c r="R29" s="7">
        <v>7.8</v>
      </c>
      <c r="T29" s="7" t="s">
        <v>279</v>
      </c>
      <c r="U29" s="7">
        <v>6.3</v>
      </c>
      <c r="W29" s="7" t="s">
        <v>279</v>
      </c>
    </row>
    <row r="30" spans="1:23" x14ac:dyDescent="0.25">
      <c r="A30" s="15" t="s">
        <v>25</v>
      </c>
      <c r="B30" s="31">
        <v>13.6</v>
      </c>
      <c r="C30" s="7" t="s">
        <v>6</v>
      </c>
      <c r="D30" s="8" t="s">
        <v>296</v>
      </c>
      <c r="E30" s="31">
        <v>25.9</v>
      </c>
      <c r="F30" s="7" t="s">
        <v>6</v>
      </c>
      <c r="G30" s="8" t="s">
        <v>296</v>
      </c>
      <c r="J30" s="37">
        <f t="shared" si="0"/>
        <v>-3.7999999999999989</v>
      </c>
      <c r="K30" s="37" t="b">
        <f t="shared" si="1"/>
        <v>0</v>
      </c>
      <c r="L30" s="37" t="b">
        <f t="shared" si="2"/>
        <v>0</v>
      </c>
      <c r="M30" s="37">
        <f t="shared" si="3"/>
        <v>-2.9000000000000021</v>
      </c>
      <c r="N30" s="37" t="b">
        <f t="shared" si="4"/>
        <v>0</v>
      </c>
      <c r="O30" s="37" t="b">
        <f t="shared" si="5"/>
        <v>0</v>
      </c>
      <c r="R30" s="7">
        <v>17.399999999999999</v>
      </c>
      <c r="T30" s="7" t="s">
        <v>9</v>
      </c>
      <c r="U30" s="7">
        <v>28.8</v>
      </c>
      <c r="W30" s="7" t="s">
        <v>9</v>
      </c>
    </row>
    <row r="31" spans="1:23" x14ac:dyDescent="0.25">
      <c r="A31" s="15" t="s">
        <v>44</v>
      </c>
      <c r="B31" s="8" t="s">
        <v>11</v>
      </c>
      <c r="C31" s="7"/>
      <c r="D31" s="7"/>
      <c r="E31" s="31">
        <v>70.099999999999994</v>
      </c>
      <c r="F31" s="7" t="s">
        <v>28</v>
      </c>
      <c r="G31" s="8" t="s">
        <v>45</v>
      </c>
      <c r="J31" s="37" t="str">
        <f t="shared" si="0"/>
        <v/>
      </c>
      <c r="K31" s="37" t="b">
        <f t="shared" si="1"/>
        <v>1</v>
      </c>
      <c r="L31" s="37" t="b">
        <f t="shared" si="2"/>
        <v>1</v>
      </c>
      <c r="M31" s="37">
        <f t="shared" si="3"/>
        <v>0</v>
      </c>
      <c r="N31" s="37" t="b">
        <f t="shared" si="4"/>
        <v>1</v>
      </c>
      <c r="O31" s="37" t="b">
        <f t="shared" si="5"/>
        <v>1</v>
      </c>
      <c r="R31" s="7" t="s">
        <v>11</v>
      </c>
      <c r="U31" s="7">
        <v>70.099999999999994</v>
      </c>
      <c r="V31" s="7" t="s">
        <v>28</v>
      </c>
      <c r="W31" s="7" t="s">
        <v>45</v>
      </c>
    </row>
    <row r="32" spans="1:23" x14ac:dyDescent="0.25">
      <c r="A32" s="15" t="s">
        <v>48</v>
      </c>
      <c r="B32" s="8" t="s">
        <v>11</v>
      </c>
      <c r="C32" s="7"/>
      <c r="D32" s="7"/>
      <c r="E32" s="31">
        <v>33.799999999999997</v>
      </c>
      <c r="F32" s="7" t="s">
        <v>6</v>
      </c>
      <c r="G32" s="8" t="s">
        <v>49</v>
      </c>
      <c r="J32" s="37" t="str">
        <f t="shared" si="0"/>
        <v/>
      </c>
      <c r="K32" s="37" t="b">
        <f t="shared" si="1"/>
        <v>1</v>
      </c>
      <c r="L32" s="37" t="b">
        <f t="shared" si="2"/>
        <v>1</v>
      </c>
      <c r="M32" s="37">
        <f t="shared" si="3"/>
        <v>0</v>
      </c>
      <c r="N32" s="37" t="b">
        <f t="shared" si="4"/>
        <v>1</v>
      </c>
      <c r="O32" s="37" t="b">
        <f t="shared" si="5"/>
        <v>1</v>
      </c>
      <c r="R32" s="7" t="s">
        <v>11</v>
      </c>
      <c r="U32" s="7">
        <v>33.799999999999997</v>
      </c>
      <c r="V32" s="7" t="s">
        <v>6</v>
      </c>
      <c r="W32" s="7" t="s">
        <v>49</v>
      </c>
    </row>
    <row r="33" spans="1:23" x14ac:dyDescent="0.25">
      <c r="A33" s="14" t="s">
        <v>29</v>
      </c>
      <c r="B33" s="31">
        <v>5</v>
      </c>
      <c r="C33" s="7" t="s">
        <v>28</v>
      </c>
      <c r="D33" s="8" t="s">
        <v>20</v>
      </c>
      <c r="E33" s="31">
        <v>1.3</v>
      </c>
      <c r="F33" s="7" t="s">
        <v>28</v>
      </c>
      <c r="G33" s="8" t="s">
        <v>20</v>
      </c>
      <c r="J33" s="37">
        <f t="shared" si="0"/>
        <v>0</v>
      </c>
      <c r="K33" s="37" t="b">
        <f t="shared" si="1"/>
        <v>1</v>
      </c>
      <c r="L33" s="37" t="b">
        <f t="shared" si="2"/>
        <v>1</v>
      </c>
      <c r="M33" s="37">
        <f t="shared" si="3"/>
        <v>0</v>
      </c>
      <c r="N33" s="37" t="b">
        <f t="shared" si="4"/>
        <v>1</v>
      </c>
      <c r="O33" s="37" t="b">
        <f t="shared" si="5"/>
        <v>1</v>
      </c>
      <c r="R33" s="7">
        <v>5</v>
      </c>
      <c r="S33" s="7" t="s">
        <v>28</v>
      </c>
      <c r="T33" s="7" t="s">
        <v>20</v>
      </c>
      <c r="U33" s="7">
        <v>1.3</v>
      </c>
      <c r="V33" s="7" t="s">
        <v>28</v>
      </c>
      <c r="W33" s="7" t="s">
        <v>20</v>
      </c>
    </row>
    <row r="34" spans="1:23" x14ac:dyDescent="0.25">
      <c r="A34" s="15" t="s">
        <v>67</v>
      </c>
      <c r="B34" s="8" t="s">
        <v>11</v>
      </c>
      <c r="C34" s="7"/>
      <c r="D34" s="7"/>
      <c r="E34" s="8" t="s">
        <v>11</v>
      </c>
      <c r="F34" s="7"/>
      <c r="J34" s="37" t="str">
        <f t="shared" si="0"/>
        <v/>
      </c>
      <c r="K34" s="37" t="b">
        <f t="shared" si="1"/>
        <v>1</v>
      </c>
      <c r="L34" s="37" t="b">
        <f t="shared" si="2"/>
        <v>1</v>
      </c>
      <c r="M34" s="37" t="str">
        <f t="shared" si="3"/>
        <v/>
      </c>
      <c r="N34" s="37" t="b">
        <f t="shared" si="4"/>
        <v>1</v>
      </c>
      <c r="O34" s="37" t="b">
        <f t="shared" si="5"/>
        <v>1</v>
      </c>
      <c r="R34" s="7" t="s">
        <v>11</v>
      </c>
      <c r="U34" s="7" t="s">
        <v>11</v>
      </c>
    </row>
    <row r="35" spans="1:23" x14ac:dyDescent="0.25">
      <c r="A35" s="15" t="s">
        <v>70</v>
      </c>
      <c r="B35" s="8" t="s">
        <v>11</v>
      </c>
      <c r="C35" s="7"/>
      <c r="D35" s="7"/>
      <c r="E35" s="8" t="s">
        <v>11</v>
      </c>
      <c r="F35" s="7"/>
      <c r="J35" s="37" t="str">
        <f t="shared" si="0"/>
        <v/>
      </c>
      <c r="K35" s="37" t="b">
        <f t="shared" si="1"/>
        <v>1</v>
      </c>
      <c r="L35" s="37" t="b">
        <f t="shared" si="2"/>
        <v>1</v>
      </c>
      <c r="M35" s="37" t="str">
        <f t="shared" si="3"/>
        <v/>
      </c>
      <c r="N35" s="37" t="b">
        <f t="shared" si="4"/>
        <v>1</v>
      </c>
      <c r="O35" s="37" t="b">
        <f t="shared" si="5"/>
        <v>1</v>
      </c>
      <c r="R35" s="7" t="s">
        <v>11</v>
      </c>
      <c r="U35" s="7" t="s">
        <v>11</v>
      </c>
    </row>
    <row r="36" spans="1:23" x14ac:dyDescent="0.25">
      <c r="A36" s="15" t="s">
        <v>73</v>
      </c>
      <c r="B36" s="8" t="s">
        <v>11</v>
      </c>
      <c r="C36" s="7"/>
      <c r="D36" s="7"/>
      <c r="E36" s="8" t="s">
        <v>11</v>
      </c>
      <c r="F36" s="7"/>
      <c r="J36" s="37" t="str">
        <f t="shared" si="0"/>
        <v/>
      </c>
      <c r="K36" s="37" t="b">
        <f t="shared" si="1"/>
        <v>1</v>
      </c>
      <c r="L36" s="37" t="b">
        <f t="shared" si="2"/>
        <v>1</v>
      </c>
      <c r="M36" s="37" t="str">
        <f t="shared" si="3"/>
        <v/>
      </c>
      <c r="N36" s="37" t="b">
        <f t="shared" si="4"/>
        <v>1</v>
      </c>
      <c r="O36" s="37" t="b">
        <f t="shared" si="5"/>
        <v>1</v>
      </c>
      <c r="R36" s="7" t="s">
        <v>11</v>
      </c>
      <c r="U36" s="7" t="s">
        <v>11</v>
      </c>
    </row>
    <row r="37" spans="1:23" x14ac:dyDescent="0.25">
      <c r="A37" s="15" t="s">
        <v>77</v>
      </c>
      <c r="B37" s="8" t="s">
        <v>11</v>
      </c>
      <c r="C37" s="7"/>
      <c r="D37" s="7"/>
      <c r="E37" s="8" t="s">
        <v>11</v>
      </c>
      <c r="F37" s="7"/>
      <c r="J37" s="37" t="str">
        <f t="shared" si="0"/>
        <v/>
      </c>
      <c r="K37" s="37" t="b">
        <f t="shared" si="1"/>
        <v>1</v>
      </c>
      <c r="L37" s="37" t="b">
        <f t="shared" si="2"/>
        <v>1</v>
      </c>
      <c r="M37" s="37" t="str">
        <f t="shared" si="3"/>
        <v/>
      </c>
      <c r="N37" s="37" t="b">
        <f t="shared" si="4"/>
        <v>1</v>
      </c>
      <c r="O37" s="37" t="b">
        <f t="shared" si="5"/>
        <v>1</v>
      </c>
      <c r="R37" s="7" t="s">
        <v>11</v>
      </c>
      <c r="U37" s="7" t="s">
        <v>11</v>
      </c>
    </row>
    <row r="38" spans="1:23" x14ac:dyDescent="0.25">
      <c r="A38" s="15" t="s">
        <v>80</v>
      </c>
      <c r="B38" s="8" t="s">
        <v>11</v>
      </c>
      <c r="C38" s="7"/>
      <c r="D38" s="7"/>
      <c r="E38" s="8" t="s">
        <v>11</v>
      </c>
      <c r="F38" s="7"/>
      <c r="J38" s="37" t="str">
        <f t="shared" si="0"/>
        <v/>
      </c>
      <c r="K38" s="37" t="b">
        <f t="shared" si="1"/>
        <v>1</v>
      </c>
      <c r="L38" s="37" t="b">
        <f t="shared" si="2"/>
        <v>1</v>
      </c>
      <c r="M38" s="37" t="str">
        <f t="shared" si="3"/>
        <v/>
      </c>
      <c r="N38" s="37" t="b">
        <f t="shared" si="4"/>
        <v>1</v>
      </c>
      <c r="O38" s="37" t="b">
        <f t="shared" si="5"/>
        <v>1</v>
      </c>
      <c r="R38" s="7" t="s">
        <v>11</v>
      </c>
      <c r="U38" s="7" t="s">
        <v>11</v>
      </c>
    </row>
    <row r="39" spans="1:23" x14ac:dyDescent="0.25">
      <c r="A39" s="14" t="s">
        <v>31</v>
      </c>
      <c r="B39" s="31">
        <v>28.2</v>
      </c>
      <c r="C39" s="7" t="s">
        <v>6</v>
      </c>
      <c r="D39" s="8" t="s">
        <v>292</v>
      </c>
      <c r="E39" s="31">
        <v>39.1</v>
      </c>
      <c r="F39" s="7" t="s">
        <v>6</v>
      </c>
      <c r="G39" s="8" t="s">
        <v>292</v>
      </c>
      <c r="J39" s="37">
        <f t="shared" si="0"/>
        <v>-11.099999999999998</v>
      </c>
      <c r="K39" s="37" t="b">
        <f t="shared" si="1"/>
        <v>1</v>
      </c>
      <c r="L39" s="37" t="b">
        <f t="shared" si="2"/>
        <v>0</v>
      </c>
      <c r="M39" s="37">
        <f t="shared" si="3"/>
        <v>2.6000000000000014</v>
      </c>
      <c r="N39" s="37" t="b">
        <f t="shared" si="4"/>
        <v>0</v>
      </c>
      <c r="O39" s="37" t="b">
        <f t="shared" si="5"/>
        <v>0</v>
      </c>
      <c r="R39" s="7">
        <v>39.299999999999997</v>
      </c>
      <c r="S39" s="7" t="s">
        <v>6</v>
      </c>
      <c r="T39" s="7" t="s">
        <v>288</v>
      </c>
      <c r="U39" s="7">
        <v>36.5</v>
      </c>
      <c r="W39" s="7" t="s">
        <v>288</v>
      </c>
    </row>
    <row r="40" spans="1:23" x14ac:dyDescent="0.25">
      <c r="A40" s="15" t="s">
        <v>35</v>
      </c>
      <c r="B40" s="31">
        <v>47.9</v>
      </c>
      <c r="C40" s="7"/>
      <c r="D40" s="8" t="s">
        <v>36</v>
      </c>
      <c r="E40" s="31">
        <v>63.3</v>
      </c>
      <c r="F40" s="7"/>
      <c r="G40" s="8" t="s">
        <v>36</v>
      </c>
      <c r="J40" s="37">
        <f t="shared" si="0"/>
        <v>0</v>
      </c>
      <c r="K40" s="37" t="b">
        <f t="shared" si="1"/>
        <v>1</v>
      </c>
      <c r="L40" s="37" t="b">
        <f t="shared" si="2"/>
        <v>1</v>
      </c>
      <c r="M40" s="37">
        <f t="shared" si="3"/>
        <v>0</v>
      </c>
      <c r="N40" s="37" t="b">
        <f t="shared" si="4"/>
        <v>1</v>
      </c>
      <c r="O40" s="37" t="b">
        <f t="shared" si="5"/>
        <v>1</v>
      </c>
      <c r="R40" s="7">
        <v>47.9</v>
      </c>
      <c r="T40" s="7" t="s">
        <v>36</v>
      </c>
      <c r="U40" s="7">
        <v>63.3</v>
      </c>
      <c r="W40" s="7" t="s">
        <v>36</v>
      </c>
    </row>
    <row r="41" spans="1:23" x14ac:dyDescent="0.25">
      <c r="A41" s="15" t="s">
        <v>38</v>
      </c>
      <c r="B41" s="31">
        <v>6.3</v>
      </c>
      <c r="C41" s="7"/>
      <c r="D41" s="8" t="s">
        <v>43</v>
      </c>
      <c r="E41" s="31">
        <v>7.4</v>
      </c>
      <c r="F41" s="7"/>
      <c r="G41" s="8" t="s">
        <v>43</v>
      </c>
      <c r="J41" s="37">
        <f t="shared" si="0"/>
        <v>0</v>
      </c>
      <c r="K41" s="37" t="b">
        <f t="shared" si="1"/>
        <v>1</v>
      </c>
      <c r="L41" s="37" t="b">
        <f t="shared" si="2"/>
        <v>1</v>
      </c>
      <c r="M41" s="37">
        <f t="shared" si="3"/>
        <v>0</v>
      </c>
      <c r="N41" s="37" t="b">
        <f t="shared" si="4"/>
        <v>1</v>
      </c>
      <c r="O41" s="37" t="b">
        <f t="shared" si="5"/>
        <v>1</v>
      </c>
      <c r="R41" s="7">
        <v>6.3</v>
      </c>
      <c r="T41" s="7" t="s">
        <v>43</v>
      </c>
      <c r="U41" s="7">
        <v>7.4</v>
      </c>
      <c r="W41" s="7" t="s">
        <v>43</v>
      </c>
    </row>
    <row r="42" spans="1:23" x14ac:dyDescent="0.25">
      <c r="A42" s="15" t="s">
        <v>39</v>
      </c>
      <c r="B42" s="31">
        <v>16.8</v>
      </c>
      <c r="C42" s="7"/>
      <c r="D42" s="8" t="s">
        <v>302</v>
      </c>
      <c r="E42" s="31">
        <v>32.6</v>
      </c>
      <c r="F42" s="7"/>
      <c r="G42" s="8" t="s">
        <v>302</v>
      </c>
      <c r="J42" s="37">
        <f t="shared" si="0"/>
        <v>-9.5999999999999979</v>
      </c>
      <c r="K42" s="37" t="b">
        <f t="shared" si="1"/>
        <v>0</v>
      </c>
      <c r="L42" s="37" t="b">
        <f t="shared" si="2"/>
        <v>0</v>
      </c>
      <c r="M42" s="37">
        <f t="shared" si="3"/>
        <v>-13.299999999999997</v>
      </c>
      <c r="N42" s="37" t="b">
        <f t="shared" si="4"/>
        <v>0</v>
      </c>
      <c r="O42" s="37" t="b">
        <f t="shared" si="5"/>
        <v>0</v>
      </c>
      <c r="R42" s="7">
        <v>26.4</v>
      </c>
      <c r="S42" s="7" t="s">
        <v>209</v>
      </c>
      <c r="T42" s="7" t="s">
        <v>40</v>
      </c>
      <c r="U42" s="7">
        <v>45.9</v>
      </c>
      <c r="V42" s="7" t="s">
        <v>209</v>
      </c>
      <c r="W42" s="7" t="s">
        <v>40</v>
      </c>
    </row>
    <row r="43" spans="1:23" x14ac:dyDescent="0.25">
      <c r="A43" s="14" t="s">
        <v>42</v>
      </c>
      <c r="B43" s="31">
        <v>34.200000000000003</v>
      </c>
      <c r="C43" s="7"/>
      <c r="D43" s="8" t="s">
        <v>43</v>
      </c>
      <c r="E43" s="31">
        <v>28.1</v>
      </c>
      <c r="F43" s="7"/>
      <c r="G43" s="8" t="s">
        <v>43</v>
      </c>
      <c r="J43" s="37">
        <f t="shared" si="0"/>
        <v>0</v>
      </c>
      <c r="K43" s="37" t="b">
        <f t="shared" si="1"/>
        <v>1</v>
      </c>
      <c r="L43" s="37" t="b">
        <f t="shared" si="2"/>
        <v>1</v>
      </c>
      <c r="M43" s="37">
        <f t="shared" si="3"/>
        <v>0</v>
      </c>
      <c r="N43" s="37" t="b">
        <f t="shared" si="4"/>
        <v>1</v>
      </c>
      <c r="O43" s="37" t="b">
        <f t="shared" si="5"/>
        <v>1</v>
      </c>
      <c r="R43" s="7">
        <v>34.200000000000003</v>
      </c>
      <c r="T43" s="7" t="s">
        <v>43</v>
      </c>
      <c r="U43" s="7">
        <v>28.1</v>
      </c>
      <c r="W43" s="7" t="s">
        <v>43</v>
      </c>
    </row>
    <row r="44" spans="1:23" x14ac:dyDescent="0.25">
      <c r="A44" s="14" t="s">
        <v>92</v>
      </c>
      <c r="B44" s="8" t="s">
        <v>11</v>
      </c>
      <c r="C44" s="7"/>
      <c r="D44" s="7"/>
      <c r="E44" s="8" t="s">
        <v>11</v>
      </c>
      <c r="F44" s="7"/>
      <c r="J44" s="37" t="str">
        <f t="shared" si="0"/>
        <v/>
      </c>
      <c r="K44" s="37" t="b">
        <f t="shared" si="1"/>
        <v>1</v>
      </c>
      <c r="L44" s="37" t="b">
        <f t="shared" si="2"/>
        <v>1</v>
      </c>
      <c r="M44" s="37" t="str">
        <f t="shared" si="3"/>
        <v/>
      </c>
      <c r="N44" s="37" t="b">
        <f t="shared" si="4"/>
        <v>1</v>
      </c>
      <c r="O44" s="37" t="b">
        <f t="shared" si="5"/>
        <v>1</v>
      </c>
      <c r="R44" s="7" t="s">
        <v>11</v>
      </c>
      <c r="U44" s="7" t="s">
        <v>11</v>
      </c>
    </row>
    <row r="45" spans="1:23" x14ac:dyDescent="0.25">
      <c r="A45" s="14" t="s">
        <v>47</v>
      </c>
      <c r="B45" s="31">
        <v>37.799999999999997</v>
      </c>
      <c r="C45" s="7"/>
      <c r="D45" s="8" t="s">
        <v>12</v>
      </c>
      <c r="E45" s="31">
        <v>60.6</v>
      </c>
      <c r="F45" s="7"/>
      <c r="G45" s="8" t="s">
        <v>12</v>
      </c>
      <c r="J45" s="37">
        <f t="shared" si="0"/>
        <v>0</v>
      </c>
      <c r="K45" s="37" t="b">
        <f t="shared" si="1"/>
        <v>1</v>
      </c>
      <c r="L45" s="37" t="b">
        <f t="shared" si="2"/>
        <v>1</v>
      </c>
      <c r="M45" s="37">
        <f t="shared" si="3"/>
        <v>0</v>
      </c>
      <c r="N45" s="37" t="b">
        <f t="shared" si="4"/>
        <v>1</v>
      </c>
      <c r="O45" s="37" t="b">
        <f t="shared" si="5"/>
        <v>1</v>
      </c>
      <c r="R45" s="7">
        <v>37.799999999999997</v>
      </c>
      <c r="T45" s="7" t="s">
        <v>12</v>
      </c>
      <c r="U45" s="7">
        <v>60.6</v>
      </c>
      <c r="W45" s="7" t="s">
        <v>12</v>
      </c>
    </row>
    <row r="46" spans="1:23" x14ac:dyDescent="0.25">
      <c r="A46" s="14" t="s">
        <v>64</v>
      </c>
      <c r="B46" s="32">
        <v>53.5</v>
      </c>
      <c r="C46" s="7" t="s">
        <v>310</v>
      </c>
      <c r="D46" s="8" t="s">
        <v>276</v>
      </c>
      <c r="E46" s="31">
        <v>73.7</v>
      </c>
      <c r="F46" s="7"/>
      <c r="G46" s="8" t="s">
        <v>18</v>
      </c>
      <c r="J46" s="37">
        <f t="shared" si="0"/>
        <v>0</v>
      </c>
      <c r="K46" s="37" t="b">
        <f t="shared" si="1"/>
        <v>0</v>
      </c>
      <c r="L46" s="37" t="b">
        <f t="shared" si="2"/>
        <v>1</v>
      </c>
      <c r="M46" s="37">
        <f t="shared" si="3"/>
        <v>0</v>
      </c>
      <c r="N46" s="37" t="b">
        <f t="shared" si="4"/>
        <v>1</v>
      </c>
      <c r="O46" s="37" t="b">
        <f t="shared" si="5"/>
        <v>1</v>
      </c>
      <c r="R46" s="7">
        <v>53.5</v>
      </c>
      <c r="T46" s="7" t="s">
        <v>276</v>
      </c>
      <c r="U46" s="7">
        <v>73.7</v>
      </c>
      <c r="W46" s="7" t="s">
        <v>18</v>
      </c>
    </row>
    <row r="47" spans="1:23" x14ac:dyDescent="0.25">
      <c r="A47" s="15" t="s">
        <v>99</v>
      </c>
      <c r="B47" s="8" t="s">
        <v>11</v>
      </c>
      <c r="C47" s="7"/>
      <c r="D47" s="7"/>
      <c r="E47" s="8" t="s">
        <v>11</v>
      </c>
      <c r="F47" s="7"/>
      <c r="J47" s="37" t="str">
        <f t="shared" si="0"/>
        <v/>
      </c>
      <c r="K47" s="37" t="b">
        <f t="shared" si="1"/>
        <v>1</v>
      </c>
      <c r="L47" s="37" t="b">
        <f t="shared" si="2"/>
        <v>1</v>
      </c>
      <c r="M47" s="37" t="str">
        <f t="shared" si="3"/>
        <v/>
      </c>
      <c r="N47" s="37" t="b">
        <f t="shared" si="4"/>
        <v>1</v>
      </c>
      <c r="O47" s="37" t="b">
        <f t="shared" si="5"/>
        <v>1</v>
      </c>
      <c r="R47" s="7" t="s">
        <v>11</v>
      </c>
      <c r="U47" s="7" t="s">
        <v>11</v>
      </c>
    </row>
    <row r="48" spans="1:23" x14ac:dyDescent="0.25">
      <c r="A48" s="15" t="s">
        <v>101</v>
      </c>
      <c r="B48" s="8" t="s">
        <v>11</v>
      </c>
      <c r="C48" s="7"/>
      <c r="D48" s="7"/>
      <c r="E48" s="8" t="s">
        <v>11</v>
      </c>
      <c r="F48" s="7"/>
      <c r="J48" s="37" t="str">
        <f t="shared" si="0"/>
        <v/>
      </c>
      <c r="K48" s="37" t="b">
        <f t="shared" si="1"/>
        <v>1</v>
      </c>
      <c r="L48" s="37" t="b">
        <f t="shared" si="2"/>
        <v>1</v>
      </c>
      <c r="M48" s="37" t="str">
        <f t="shared" si="3"/>
        <v/>
      </c>
      <c r="N48" s="37" t="b">
        <f t="shared" si="4"/>
        <v>1</v>
      </c>
      <c r="O48" s="37" t="b">
        <f t="shared" si="5"/>
        <v>1</v>
      </c>
      <c r="R48" s="7" t="s">
        <v>11</v>
      </c>
      <c r="U48" s="7" t="s">
        <v>11</v>
      </c>
    </row>
    <row r="49" spans="1:23" x14ac:dyDescent="0.25">
      <c r="A49" s="15" t="s">
        <v>50</v>
      </c>
      <c r="B49" s="31">
        <v>5.0999999999999996</v>
      </c>
      <c r="C49" s="7"/>
      <c r="D49" s="8" t="s">
        <v>7</v>
      </c>
      <c r="E49" s="31">
        <v>3.5</v>
      </c>
      <c r="F49" s="7"/>
      <c r="G49" s="8" t="s">
        <v>7</v>
      </c>
      <c r="J49" s="37">
        <f t="shared" si="0"/>
        <v>0</v>
      </c>
      <c r="K49" s="37" t="b">
        <f t="shared" si="1"/>
        <v>1</v>
      </c>
      <c r="L49" s="37" t="b">
        <f t="shared" si="2"/>
        <v>1</v>
      </c>
      <c r="M49" s="37">
        <f t="shared" si="3"/>
        <v>0</v>
      </c>
      <c r="N49" s="37" t="b">
        <f t="shared" si="4"/>
        <v>1</v>
      </c>
      <c r="O49" s="37" t="b">
        <f t="shared" si="5"/>
        <v>1</v>
      </c>
      <c r="R49" s="7">
        <v>5.0999999999999996</v>
      </c>
      <c r="T49" s="7" t="s">
        <v>7</v>
      </c>
      <c r="U49" s="7">
        <v>3.5</v>
      </c>
      <c r="W49" s="7" t="s">
        <v>7</v>
      </c>
    </row>
    <row r="50" spans="1:23" x14ac:dyDescent="0.25">
      <c r="A50" s="15" t="s">
        <v>51</v>
      </c>
      <c r="B50" s="31">
        <v>21.6</v>
      </c>
      <c r="C50" s="7"/>
      <c r="D50" s="8" t="s">
        <v>303</v>
      </c>
      <c r="E50" s="31">
        <v>18.3</v>
      </c>
      <c r="F50" s="7"/>
      <c r="G50" s="8" t="s">
        <v>303</v>
      </c>
      <c r="J50" s="37">
        <f t="shared" si="0"/>
        <v>-7.5</v>
      </c>
      <c r="K50" s="37" t="b">
        <f t="shared" si="1"/>
        <v>0</v>
      </c>
      <c r="L50" s="37" t="b">
        <f t="shared" si="2"/>
        <v>0</v>
      </c>
      <c r="M50" s="37">
        <f t="shared" si="3"/>
        <v>-24.8</v>
      </c>
      <c r="N50" s="37" t="b">
        <f t="shared" si="4"/>
        <v>0</v>
      </c>
      <c r="O50" s="37" t="b">
        <f t="shared" si="5"/>
        <v>0</v>
      </c>
      <c r="R50" s="7">
        <v>29.1</v>
      </c>
      <c r="S50" s="7" t="s">
        <v>28</v>
      </c>
      <c r="T50" s="7" t="s">
        <v>52</v>
      </c>
      <c r="U50" s="7">
        <v>43.1</v>
      </c>
      <c r="V50" s="7" t="s">
        <v>28</v>
      </c>
      <c r="W50" s="7" t="s">
        <v>52</v>
      </c>
    </row>
    <row r="51" spans="1:23" x14ac:dyDescent="0.25">
      <c r="A51" s="14" t="s">
        <v>53</v>
      </c>
      <c r="B51" s="31">
        <v>45.3</v>
      </c>
      <c r="C51" s="7"/>
      <c r="D51" s="8" t="s">
        <v>54</v>
      </c>
      <c r="E51" s="31">
        <v>56</v>
      </c>
      <c r="F51" s="7"/>
      <c r="G51" s="8" t="s">
        <v>54</v>
      </c>
      <c r="J51" s="37">
        <f t="shared" si="0"/>
        <v>0</v>
      </c>
      <c r="K51" s="37" t="b">
        <f t="shared" si="1"/>
        <v>1</v>
      </c>
      <c r="L51" s="37" t="b">
        <f t="shared" si="2"/>
        <v>1</v>
      </c>
      <c r="M51" s="37">
        <f t="shared" si="3"/>
        <v>0</v>
      </c>
      <c r="N51" s="37" t="b">
        <f t="shared" si="4"/>
        <v>1</v>
      </c>
      <c r="O51" s="37" t="b">
        <f t="shared" si="5"/>
        <v>1</v>
      </c>
      <c r="R51" s="7">
        <v>45.3</v>
      </c>
      <c r="T51" s="7" t="s">
        <v>54</v>
      </c>
      <c r="U51" s="7">
        <v>56</v>
      </c>
      <c r="W51" s="7" t="s">
        <v>54</v>
      </c>
    </row>
    <row r="52" spans="1:23" x14ac:dyDescent="0.25">
      <c r="A52" s="14" t="s">
        <v>108</v>
      </c>
      <c r="B52" s="8" t="s">
        <v>11</v>
      </c>
      <c r="C52" s="7"/>
      <c r="D52" s="7"/>
      <c r="E52" s="8" t="s">
        <v>11</v>
      </c>
      <c r="F52" s="7"/>
      <c r="J52" s="37" t="str">
        <f t="shared" si="0"/>
        <v/>
      </c>
      <c r="K52" s="37" t="b">
        <f t="shared" si="1"/>
        <v>1</v>
      </c>
      <c r="L52" s="37" t="b">
        <f t="shared" si="2"/>
        <v>1</v>
      </c>
      <c r="M52" s="37" t="str">
        <f t="shared" si="3"/>
        <v/>
      </c>
      <c r="N52" s="37" t="b">
        <f t="shared" si="4"/>
        <v>1</v>
      </c>
      <c r="O52" s="37" t="b">
        <f t="shared" si="5"/>
        <v>1</v>
      </c>
      <c r="R52" s="7" t="s">
        <v>11</v>
      </c>
      <c r="U52" s="7" t="s">
        <v>11</v>
      </c>
    </row>
    <row r="53" spans="1:23" x14ac:dyDescent="0.25">
      <c r="A53" s="14" t="s">
        <v>75</v>
      </c>
      <c r="B53" s="8" t="s">
        <v>11</v>
      </c>
      <c r="C53" s="7"/>
      <c r="D53" s="7"/>
      <c r="E53" s="31">
        <v>3.3</v>
      </c>
      <c r="F53" s="7"/>
      <c r="G53" s="8" t="s">
        <v>76</v>
      </c>
      <c r="J53" s="37" t="str">
        <f t="shared" si="0"/>
        <v/>
      </c>
      <c r="K53" s="37" t="b">
        <f t="shared" si="1"/>
        <v>1</v>
      </c>
      <c r="L53" s="37" t="b">
        <f t="shared" si="2"/>
        <v>1</v>
      </c>
      <c r="M53" s="37">
        <f t="shared" si="3"/>
        <v>0</v>
      </c>
      <c r="N53" s="37" t="b">
        <f t="shared" si="4"/>
        <v>1</v>
      </c>
      <c r="O53" s="37" t="b">
        <f t="shared" si="5"/>
        <v>1</v>
      </c>
      <c r="R53" s="7" t="s">
        <v>11</v>
      </c>
      <c r="U53" s="7">
        <v>3.3</v>
      </c>
      <c r="W53" s="7" t="s">
        <v>76</v>
      </c>
    </row>
    <row r="54" spans="1:23" x14ac:dyDescent="0.25">
      <c r="A54" s="14" t="s">
        <v>56</v>
      </c>
      <c r="B54" s="31">
        <v>24.5</v>
      </c>
      <c r="C54" s="7"/>
      <c r="D54" s="8" t="s">
        <v>292</v>
      </c>
      <c r="E54" s="31">
        <v>27.7</v>
      </c>
      <c r="F54" s="7"/>
      <c r="G54" s="8" t="s">
        <v>292</v>
      </c>
      <c r="J54" s="37">
        <f t="shared" si="0"/>
        <v>-4.8000000000000007</v>
      </c>
      <c r="K54" s="37" t="b">
        <f t="shared" si="1"/>
        <v>1</v>
      </c>
      <c r="L54" s="37" t="b">
        <f t="shared" si="2"/>
        <v>0</v>
      </c>
      <c r="M54" s="37">
        <f t="shared" si="3"/>
        <v>-15.2</v>
      </c>
      <c r="N54" s="37" t="b">
        <f t="shared" si="4"/>
        <v>1</v>
      </c>
      <c r="O54" s="37" t="b">
        <f t="shared" si="5"/>
        <v>0</v>
      </c>
      <c r="R54" s="7">
        <v>29.3</v>
      </c>
      <c r="T54" s="7" t="s">
        <v>57</v>
      </c>
      <c r="U54" s="7">
        <v>42.9</v>
      </c>
      <c r="W54" s="7" t="s">
        <v>57</v>
      </c>
    </row>
    <row r="55" spans="1:23" x14ac:dyDescent="0.25">
      <c r="A55" s="15" t="s">
        <v>113</v>
      </c>
      <c r="B55" s="8" t="s">
        <v>11</v>
      </c>
      <c r="C55" s="7"/>
      <c r="D55" s="7"/>
      <c r="E55" s="8" t="s">
        <v>11</v>
      </c>
      <c r="F55" s="7"/>
      <c r="J55" s="37" t="str">
        <f t="shared" si="0"/>
        <v/>
      </c>
      <c r="K55" s="37" t="b">
        <f t="shared" si="1"/>
        <v>1</v>
      </c>
      <c r="L55" s="37" t="b">
        <f t="shared" si="2"/>
        <v>1</v>
      </c>
      <c r="M55" s="37" t="str">
        <f t="shared" si="3"/>
        <v/>
      </c>
      <c r="N55" s="37" t="b">
        <f t="shared" si="4"/>
        <v>1</v>
      </c>
      <c r="O55" s="37" t="b">
        <f t="shared" si="5"/>
        <v>1</v>
      </c>
      <c r="R55" s="7" t="s">
        <v>11</v>
      </c>
      <c r="U55" s="7" t="s">
        <v>11</v>
      </c>
    </row>
    <row r="56" spans="1:23" x14ac:dyDescent="0.25">
      <c r="A56" s="15" t="s">
        <v>58</v>
      </c>
      <c r="B56" s="31">
        <v>0.8</v>
      </c>
      <c r="C56" s="7"/>
      <c r="D56" s="8" t="s">
        <v>18</v>
      </c>
      <c r="E56" s="31">
        <v>2.9</v>
      </c>
      <c r="F56" s="7"/>
      <c r="G56" s="8" t="s">
        <v>18</v>
      </c>
      <c r="J56" s="37">
        <f t="shared" si="0"/>
        <v>-4.0000000000000036E-3</v>
      </c>
      <c r="K56" s="37" t="b">
        <f t="shared" si="1"/>
        <v>1</v>
      </c>
      <c r="L56" s="37" t="b">
        <f t="shared" si="2"/>
        <v>1</v>
      </c>
      <c r="M56" s="37">
        <f t="shared" si="3"/>
        <v>4.8000000000000043E-2</v>
      </c>
      <c r="N56" s="37" t="b">
        <f t="shared" si="4"/>
        <v>1</v>
      </c>
      <c r="O56" s="37" t="b">
        <f t="shared" si="5"/>
        <v>1</v>
      </c>
      <c r="R56" s="7">
        <v>0.80400000000000005</v>
      </c>
      <c r="T56" s="7" t="s">
        <v>18</v>
      </c>
      <c r="U56" s="7">
        <v>2.8519999999999999</v>
      </c>
      <c r="W56" s="7" t="s">
        <v>18</v>
      </c>
    </row>
    <row r="57" spans="1:23" x14ac:dyDescent="0.25">
      <c r="A57" s="15" t="s">
        <v>116</v>
      </c>
      <c r="B57" s="8" t="s">
        <v>11</v>
      </c>
      <c r="C57" s="7"/>
      <c r="D57" s="7"/>
      <c r="E57" s="8" t="s">
        <v>11</v>
      </c>
      <c r="F57" s="7"/>
      <c r="J57" s="37" t="str">
        <f t="shared" si="0"/>
        <v/>
      </c>
      <c r="K57" s="37" t="b">
        <f t="shared" si="1"/>
        <v>1</v>
      </c>
      <c r="L57" s="37" t="b">
        <f t="shared" si="2"/>
        <v>1</v>
      </c>
      <c r="M57" s="37" t="str">
        <f t="shared" si="3"/>
        <v/>
      </c>
      <c r="N57" s="37" t="b">
        <f t="shared" si="4"/>
        <v>1</v>
      </c>
      <c r="O57" s="37" t="b">
        <f t="shared" si="5"/>
        <v>1</v>
      </c>
      <c r="R57" s="7" t="s">
        <v>11</v>
      </c>
      <c r="U57" s="7" t="s">
        <v>11</v>
      </c>
    </row>
    <row r="58" spans="1:23" x14ac:dyDescent="0.25">
      <c r="A58" s="15" t="s">
        <v>119</v>
      </c>
      <c r="B58" s="8" t="s">
        <v>11</v>
      </c>
      <c r="C58" s="7"/>
      <c r="D58" s="7"/>
      <c r="E58" s="8" t="s">
        <v>11</v>
      </c>
      <c r="F58" s="7"/>
      <c r="J58" s="37" t="str">
        <f t="shared" si="0"/>
        <v/>
      </c>
      <c r="K58" s="37" t="b">
        <f t="shared" si="1"/>
        <v>1</v>
      </c>
      <c r="L58" s="37" t="b">
        <f t="shared" si="2"/>
        <v>1</v>
      </c>
      <c r="M58" s="37" t="str">
        <f t="shared" si="3"/>
        <v/>
      </c>
      <c r="N58" s="37" t="b">
        <f t="shared" si="4"/>
        <v>1</v>
      </c>
      <c r="O58" s="37" t="b">
        <f t="shared" si="5"/>
        <v>1</v>
      </c>
      <c r="R58" s="7" t="s">
        <v>11</v>
      </c>
      <c r="U58" s="7" t="s">
        <v>11</v>
      </c>
    </row>
    <row r="59" spans="1:23" x14ac:dyDescent="0.25">
      <c r="A59" s="15" t="s">
        <v>59</v>
      </c>
      <c r="B59" s="31">
        <v>3.9</v>
      </c>
      <c r="C59" s="7"/>
      <c r="D59" s="8" t="s">
        <v>60</v>
      </c>
      <c r="E59" s="31">
        <v>3.7</v>
      </c>
      <c r="F59" s="7"/>
      <c r="G59" s="8" t="s">
        <v>60</v>
      </c>
      <c r="J59" s="37">
        <f t="shared" si="0"/>
        <v>0</v>
      </c>
      <c r="K59" s="37" t="b">
        <f t="shared" si="1"/>
        <v>1</v>
      </c>
      <c r="L59" s="37" t="b">
        <f t="shared" si="2"/>
        <v>1</v>
      </c>
      <c r="M59" s="37">
        <f t="shared" si="3"/>
        <v>0</v>
      </c>
      <c r="N59" s="37" t="b">
        <f t="shared" si="4"/>
        <v>1</v>
      </c>
      <c r="O59" s="37" t="b">
        <f t="shared" si="5"/>
        <v>1</v>
      </c>
      <c r="R59" s="7">
        <v>3.9</v>
      </c>
      <c r="T59" s="7" t="s">
        <v>60</v>
      </c>
      <c r="U59" s="7">
        <v>3.7</v>
      </c>
      <c r="W59" s="7" t="s">
        <v>60</v>
      </c>
    </row>
    <row r="60" spans="1:23" x14ac:dyDescent="0.25">
      <c r="A60" s="14" t="s">
        <v>61</v>
      </c>
      <c r="B60" s="31">
        <v>51.6</v>
      </c>
      <c r="C60" s="7"/>
      <c r="D60" s="8" t="s">
        <v>62</v>
      </c>
      <c r="E60" s="31">
        <v>59.6</v>
      </c>
      <c r="F60" s="7"/>
      <c r="G60" s="8" t="s">
        <v>62</v>
      </c>
      <c r="J60" s="37">
        <f t="shared" si="0"/>
        <v>0</v>
      </c>
      <c r="K60" s="37" t="b">
        <f t="shared" si="1"/>
        <v>1</v>
      </c>
      <c r="L60" s="37" t="b">
        <f t="shared" si="2"/>
        <v>1</v>
      </c>
      <c r="M60" s="37">
        <f t="shared" si="3"/>
        <v>0</v>
      </c>
      <c r="N60" s="37" t="b">
        <f t="shared" si="4"/>
        <v>1</v>
      </c>
      <c r="O60" s="37" t="b">
        <f t="shared" si="5"/>
        <v>1</v>
      </c>
      <c r="R60" s="7">
        <v>51.6</v>
      </c>
      <c r="T60" s="7" t="s">
        <v>62</v>
      </c>
      <c r="U60" s="7">
        <v>59.6</v>
      </c>
      <c r="W60" s="7" t="s">
        <v>62</v>
      </c>
    </row>
    <row r="61" spans="1:23" x14ac:dyDescent="0.25">
      <c r="A61" s="14" t="s">
        <v>124</v>
      </c>
      <c r="B61" s="8" t="s">
        <v>11</v>
      </c>
      <c r="C61" s="7"/>
      <c r="D61" s="7"/>
      <c r="E61" s="8" t="s">
        <v>11</v>
      </c>
      <c r="F61" s="7"/>
      <c r="J61" s="37" t="str">
        <f t="shared" si="0"/>
        <v/>
      </c>
      <c r="K61" s="37" t="b">
        <f t="shared" si="1"/>
        <v>1</v>
      </c>
      <c r="L61" s="37" t="b">
        <f t="shared" si="2"/>
        <v>1</v>
      </c>
      <c r="M61" s="37" t="str">
        <f t="shared" si="3"/>
        <v/>
      </c>
      <c r="N61" s="37" t="b">
        <f t="shared" si="4"/>
        <v>1</v>
      </c>
      <c r="O61" s="37" t="b">
        <f t="shared" si="5"/>
        <v>1</v>
      </c>
      <c r="R61" s="7" t="s">
        <v>11</v>
      </c>
      <c r="U61" s="7" t="s">
        <v>11</v>
      </c>
    </row>
    <row r="62" spans="1:23" x14ac:dyDescent="0.25">
      <c r="A62" s="14" t="s">
        <v>129</v>
      </c>
      <c r="B62" s="8" t="s">
        <v>11</v>
      </c>
      <c r="C62" s="7"/>
      <c r="D62" s="7"/>
      <c r="E62" s="31">
        <v>35.299999999999997</v>
      </c>
      <c r="F62" s="7" t="s">
        <v>6</v>
      </c>
      <c r="G62" s="8" t="s">
        <v>289</v>
      </c>
      <c r="J62" s="37" t="str">
        <f t="shared" si="0"/>
        <v/>
      </c>
      <c r="K62" s="37" t="b">
        <f t="shared" si="1"/>
        <v>1</v>
      </c>
      <c r="L62" s="37" t="b">
        <f t="shared" si="2"/>
        <v>1</v>
      </c>
      <c r="M62" s="37">
        <f t="shared" si="3"/>
        <v>2.4999999999998579E-2</v>
      </c>
      <c r="N62" s="37" t="b">
        <f t="shared" si="4"/>
        <v>1</v>
      </c>
      <c r="O62" s="37" t="b">
        <f t="shared" si="5"/>
        <v>1</v>
      </c>
      <c r="R62" s="7" t="s">
        <v>11</v>
      </c>
      <c r="U62" s="7">
        <v>35.274999999999999</v>
      </c>
      <c r="V62" s="7" t="s">
        <v>6</v>
      </c>
      <c r="W62" s="7" t="s">
        <v>289</v>
      </c>
    </row>
    <row r="63" spans="1:23" x14ac:dyDescent="0.25">
      <c r="A63" s="15" t="s">
        <v>131</v>
      </c>
      <c r="B63" s="8" t="s">
        <v>11</v>
      </c>
      <c r="C63" s="7"/>
      <c r="D63" s="7"/>
      <c r="E63" s="8" t="s">
        <v>11</v>
      </c>
      <c r="F63" s="7"/>
      <c r="J63" s="37" t="str">
        <f t="shared" si="0"/>
        <v/>
      </c>
      <c r="K63" s="37" t="b">
        <f t="shared" si="1"/>
        <v>1</v>
      </c>
      <c r="L63" s="37" t="b">
        <f t="shared" si="2"/>
        <v>1</v>
      </c>
      <c r="M63" s="37" t="str">
        <f t="shared" si="3"/>
        <v/>
      </c>
      <c r="N63" s="37" t="b">
        <f t="shared" si="4"/>
        <v>1</v>
      </c>
      <c r="O63" s="37" t="b">
        <f t="shared" si="5"/>
        <v>1</v>
      </c>
      <c r="R63" s="7" t="s">
        <v>11</v>
      </c>
      <c r="U63" s="7" t="s">
        <v>11</v>
      </c>
    </row>
    <row r="64" spans="1:23" x14ac:dyDescent="0.25">
      <c r="A64" s="14" t="s">
        <v>86</v>
      </c>
      <c r="B64" s="32">
        <v>13.5</v>
      </c>
      <c r="C64" s="7" t="s">
        <v>309</v>
      </c>
      <c r="D64" s="8" t="s">
        <v>118</v>
      </c>
      <c r="E64" s="31">
        <v>2.8</v>
      </c>
      <c r="F64" s="7"/>
      <c r="G64" s="8" t="s">
        <v>18</v>
      </c>
      <c r="J64" s="37">
        <f t="shared" si="0"/>
        <v>0</v>
      </c>
      <c r="K64" s="37" t="b">
        <f t="shared" si="1"/>
        <v>0</v>
      </c>
      <c r="L64" s="37" t="b">
        <f t="shared" si="2"/>
        <v>1</v>
      </c>
      <c r="M64" s="37">
        <f t="shared" si="3"/>
        <v>2.1999999999999797E-2</v>
      </c>
      <c r="N64" s="37" t="b">
        <f t="shared" si="4"/>
        <v>1</v>
      </c>
      <c r="O64" s="37" t="b">
        <f t="shared" si="5"/>
        <v>1</v>
      </c>
      <c r="R64" s="7">
        <v>13.5</v>
      </c>
      <c r="S64" s="7" t="s">
        <v>28</v>
      </c>
      <c r="T64" s="7" t="s">
        <v>118</v>
      </c>
      <c r="U64" s="7">
        <v>2.778</v>
      </c>
      <c r="W64" s="7" t="s">
        <v>18</v>
      </c>
    </row>
    <row r="65" spans="1:23" x14ac:dyDescent="0.25">
      <c r="A65" s="14" t="s">
        <v>136</v>
      </c>
      <c r="B65" s="8" t="s">
        <v>11</v>
      </c>
      <c r="C65" s="7"/>
      <c r="D65" s="7"/>
      <c r="E65" s="8" t="s">
        <v>11</v>
      </c>
      <c r="F65" s="7"/>
      <c r="J65" s="37" t="str">
        <f t="shared" si="0"/>
        <v/>
      </c>
      <c r="K65" s="37" t="b">
        <f t="shared" si="1"/>
        <v>1</v>
      </c>
      <c r="L65" s="37" t="b">
        <f t="shared" si="2"/>
        <v>1</v>
      </c>
      <c r="M65" s="37" t="str">
        <f t="shared" si="3"/>
        <v/>
      </c>
      <c r="N65" s="37" t="b">
        <f t="shared" si="4"/>
        <v>1</v>
      </c>
      <c r="O65" s="37" t="b">
        <f t="shared" si="5"/>
        <v>1</v>
      </c>
      <c r="R65" s="7" t="s">
        <v>11</v>
      </c>
      <c r="U65" s="7" t="s">
        <v>11</v>
      </c>
    </row>
    <row r="66" spans="1:23" x14ac:dyDescent="0.25">
      <c r="A66" s="14" t="s">
        <v>88</v>
      </c>
      <c r="B66" s="8" t="s">
        <v>11</v>
      </c>
      <c r="C66" s="7"/>
      <c r="D66" s="7"/>
      <c r="E66" s="31">
        <v>27.4</v>
      </c>
      <c r="F66" s="7" t="s">
        <v>6</v>
      </c>
      <c r="G66" s="8" t="s">
        <v>304</v>
      </c>
      <c r="J66" s="37" t="str">
        <f t="shared" si="0"/>
        <v/>
      </c>
      <c r="K66" s="37" t="b">
        <f t="shared" si="1"/>
        <v>1</v>
      </c>
      <c r="L66" s="37" t="b">
        <f t="shared" si="2"/>
        <v>1</v>
      </c>
      <c r="M66" s="37">
        <f t="shared" si="3"/>
        <v>-18.700000000000003</v>
      </c>
      <c r="N66" s="37" t="b">
        <f t="shared" si="4"/>
        <v>0</v>
      </c>
      <c r="O66" s="37" t="b">
        <f t="shared" si="5"/>
        <v>0</v>
      </c>
      <c r="R66" s="7" t="s">
        <v>11</v>
      </c>
      <c r="U66" s="7">
        <v>46.1</v>
      </c>
      <c r="V66" s="7" t="s">
        <v>209</v>
      </c>
      <c r="W66" s="7" t="s">
        <v>40</v>
      </c>
    </row>
    <row r="67" spans="1:23" x14ac:dyDescent="0.25">
      <c r="A67" s="15" t="s">
        <v>90</v>
      </c>
      <c r="B67" s="8" t="s">
        <v>11</v>
      </c>
      <c r="C67" s="7"/>
      <c r="D67" s="7"/>
      <c r="E67" s="31">
        <v>4.5</v>
      </c>
      <c r="F67" s="7"/>
      <c r="G67" s="8" t="s">
        <v>318</v>
      </c>
      <c r="J67" s="37" t="str">
        <f t="shared" si="0"/>
        <v/>
      </c>
      <c r="K67" s="37" t="b">
        <f t="shared" si="1"/>
        <v>1</v>
      </c>
      <c r="L67" s="37" t="b">
        <f t="shared" si="2"/>
        <v>1</v>
      </c>
      <c r="M67" s="37">
        <f t="shared" si="3"/>
        <v>-5.1999999999999993</v>
      </c>
      <c r="N67" s="37" t="b">
        <f t="shared" si="4"/>
        <v>0</v>
      </c>
      <c r="O67" s="37" t="b">
        <f t="shared" si="5"/>
        <v>0</v>
      </c>
      <c r="R67" s="7" t="s">
        <v>11</v>
      </c>
      <c r="U67" s="7">
        <v>9.6999999999999993</v>
      </c>
      <c r="V67" s="7" t="s">
        <v>28</v>
      </c>
      <c r="W67" s="7" t="s">
        <v>91</v>
      </c>
    </row>
    <row r="68" spans="1:23" x14ac:dyDescent="0.25">
      <c r="A68" s="15" t="s">
        <v>63</v>
      </c>
      <c r="B68" s="31">
        <v>55.8</v>
      </c>
      <c r="C68" s="7" t="s">
        <v>28</v>
      </c>
      <c r="D68" s="8" t="s">
        <v>27</v>
      </c>
      <c r="E68" s="31">
        <v>56.7</v>
      </c>
      <c r="F68" s="7" t="s">
        <v>28</v>
      </c>
      <c r="G68" s="8" t="s">
        <v>27</v>
      </c>
      <c r="J68" s="37">
        <f t="shared" si="0"/>
        <v>0</v>
      </c>
      <c r="K68" s="37" t="b">
        <f t="shared" si="1"/>
        <v>1</v>
      </c>
      <c r="L68" s="37" t="b">
        <f t="shared" si="2"/>
        <v>1</v>
      </c>
      <c r="M68" s="37">
        <f t="shared" si="3"/>
        <v>0</v>
      </c>
      <c r="N68" s="37" t="b">
        <f t="shared" si="4"/>
        <v>1</v>
      </c>
      <c r="O68" s="37" t="b">
        <f t="shared" si="5"/>
        <v>1</v>
      </c>
      <c r="R68" s="7">
        <v>55.8</v>
      </c>
      <c r="S68" s="7" t="s">
        <v>28</v>
      </c>
      <c r="T68" s="7" t="s">
        <v>27</v>
      </c>
      <c r="U68" s="7">
        <v>56.7</v>
      </c>
      <c r="V68" s="7" t="s">
        <v>28</v>
      </c>
      <c r="W68" s="7" t="s">
        <v>27</v>
      </c>
    </row>
    <row r="69" spans="1:23" x14ac:dyDescent="0.25">
      <c r="A69" s="15" t="s">
        <v>65</v>
      </c>
      <c r="B69" s="31">
        <v>60.3</v>
      </c>
      <c r="C69" s="7" t="s">
        <v>28</v>
      </c>
      <c r="D69" s="8" t="s">
        <v>66</v>
      </c>
      <c r="E69" s="31">
        <v>51.4</v>
      </c>
      <c r="F69" s="7" t="s">
        <v>28</v>
      </c>
      <c r="G69" s="8" t="s">
        <v>66</v>
      </c>
      <c r="J69" s="37">
        <f t="shared" si="0"/>
        <v>0</v>
      </c>
      <c r="K69" s="37" t="b">
        <f t="shared" si="1"/>
        <v>1</v>
      </c>
      <c r="L69" s="37" t="b">
        <f t="shared" si="2"/>
        <v>1</v>
      </c>
      <c r="M69" s="37">
        <f t="shared" si="3"/>
        <v>0</v>
      </c>
      <c r="N69" s="37" t="b">
        <f t="shared" si="4"/>
        <v>1</v>
      </c>
      <c r="O69" s="37" t="b">
        <f t="shared" si="5"/>
        <v>1</v>
      </c>
      <c r="R69" s="7">
        <v>60.3</v>
      </c>
      <c r="S69" s="7" t="s">
        <v>28</v>
      </c>
      <c r="T69" s="7" t="s">
        <v>66</v>
      </c>
      <c r="U69" s="7">
        <v>51.4</v>
      </c>
      <c r="V69" s="7" t="s">
        <v>28</v>
      </c>
      <c r="W69" s="7" t="s">
        <v>66</v>
      </c>
    </row>
    <row r="70" spans="1:23" x14ac:dyDescent="0.25">
      <c r="A70" s="15" t="s">
        <v>145</v>
      </c>
      <c r="B70" s="8" t="s">
        <v>11</v>
      </c>
      <c r="C70" s="7"/>
      <c r="D70" s="7"/>
      <c r="E70" s="8" t="s">
        <v>11</v>
      </c>
      <c r="F70" s="7"/>
      <c r="J70" s="37" t="str">
        <f t="shared" si="0"/>
        <v/>
      </c>
      <c r="K70" s="37" t="b">
        <f t="shared" si="1"/>
        <v>1</v>
      </c>
      <c r="L70" s="37" t="b">
        <f t="shared" si="2"/>
        <v>1</v>
      </c>
      <c r="M70" s="37" t="str">
        <f t="shared" si="3"/>
        <v/>
      </c>
      <c r="N70" s="37" t="b">
        <f t="shared" si="4"/>
        <v>1</v>
      </c>
      <c r="O70" s="37" t="b">
        <f t="shared" si="5"/>
        <v>1</v>
      </c>
      <c r="R70" s="7" t="s">
        <v>11</v>
      </c>
      <c r="U70" s="7" t="s">
        <v>11</v>
      </c>
    </row>
    <row r="71" spans="1:23" x14ac:dyDescent="0.25">
      <c r="A71" s="15" t="s">
        <v>68</v>
      </c>
      <c r="B71" s="31">
        <v>5.9</v>
      </c>
      <c r="C71" s="7"/>
      <c r="D71" s="8" t="s">
        <v>296</v>
      </c>
      <c r="E71" s="31">
        <v>15.3</v>
      </c>
      <c r="F71" s="7"/>
      <c r="G71" s="8" t="s">
        <v>296</v>
      </c>
      <c r="J71" s="37">
        <f t="shared" si="0"/>
        <v>-23.299999999999997</v>
      </c>
      <c r="K71" s="37" t="b">
        <f t="shared" si="1"/>
        <v>0</v>
      </c>
      <c r="L71" s="37" t="b">
        <f t="shared" si="2"/>
        <v>0</v>
      </c>
      <c r="M71" s="37">
        <f t="shared" si="3"/>
        <v>-16.999999999999996</v>
      </c>
      <c r="N71" s="37" t="b">
        <f t="shared" si="4"/>
        <v>0</v>
      </c>
      <c r="O71" s="37" t="b">
        <f t="shared" si="5"/>
        <v>0</v>
      </c>
      <c r="R71" s="7">
        <v>29.2</v>
      </c>
      <c r="S71" s="7" t="s">
        <v>28</v>
      </c>
      <c r="T71" s="7" t="s">
        <v>69</v>
      </c>
      <c r="U71" s="7">
        <v>32.299999999999997</v>
      </c>
      <c r="V71" s="7" t="s">
        <v>28</v>
      </c>
      <c r="W71" s="7" t="s">
        <v>69</v>
      </c>
    </row>
    <row r="72" spans="1:23" x14ac:dyDescent="0.25">
      <c r="A72" s="15" t="s">
        <v>71</v>
      </c>
      <c r="B72" s="31">
        <v>32.799999999999997</v>
      </c>
      <c r="C72" s="7"/>
      <c r="D72" s="8" t="s">
        <v>72</v>
      </c>
      <c r="E72" s="31">
        <v>60.3</v>
      </c>
      <c r="F72" s="7"/>
      <c r="G72" s="8" t="s">
        <v>72</v>
      </c>
      <c r="J72" s="37">
        <f t="shared" si="0"/>
        <v>0</v>
      </c>
      <c r="K72" s="37" t="b">
        <f t="shared" si="1"/>
        <v>1</v>
      </c>
      <c r="L72" s="37" t="b">
        <f t="shared" si="2"/>
        <v>1</v>
      </c>
      <c r="M72" s="37">
        <f t="shared" si="3"/>
        <v>0</v>
      </c>
      <c r="N72" s="37" t="b">
        <f t="shared" si="4"/>
        <v>1</v>
      </c>
      <c r="O72" s="37" t="b">
        <f t="shared" si="5"/>
        <v>1</v>
      </c>
      <c r="R72" s="7">
        <v>32.799999999999997</v>
      </c>
      <c r="T72" s="7" t="s">
        <v>72</v>
      </c>
      <c r="U72" s="7">
        <v>60.3</v>
      </c>
      <c r="W72" s="7" t="s">
        <v>72</v>
      </c>
    </row>
    <row r="73" spans="1:23" x14ac:dyDescent="0.25">
      <c r="A73" s="14" t="s">
        <v>149</v>
      </c>
      <c r="B73" s="31">
        <v>19</v>
      </c>
      <c r="C73" s="7"/>
      <c r="D73" s="8" t="s">
        <v>290</v>
      </c>
      <c r="E73" s="31">
        <v>20.2</v>
      </c>
      <c r="F73" s="7"/>
      <c r="G73" s="8" t="s">
        <v>290</v>
      </c>
      <c r="J73" s="37">
        <f t="shared" si="0"/>
        <v>4.7999999999998266E-2</v>
      </c>
      <c r="K73" s="37" t="b">
        <f t="shared" si="1"/>
        <v>1</v>
      </c>
      <c r="L73" s="37" t="b">
        <f t="shared" si="2"/>
        <v>1</v>
      </c>
      <c r="M73" s="37">
        <f t="shared" si="3"/>
        <v>-4.8000000000001819E-2</v>
      </c>
      <c r="N73" s="37" t="b">
        <f t="shared" si="4"/>
        <v>1</v>
      </c>
      <c r="O73" s="37" t="b">
        <f t="shared" si="5"/>
        <v>1</v>
      </c>
      <c r="R73" s="7">
        <v>18.952000000000002</v>
      </c>
      <c r="T73" s="7" t="s">
        <v>290</v>
      </c>
      <c r="U73" s="7">
        <v>20.248000000000001</v>
      </c>
      <c r="W73" s="7" t="s">
        <v>290</v>
      </c>
    </row>
    <row r="74" spans="1:23" x14ac:dyDescent="0.25">
      <c r="A74" s="15" t="s">
        <v>151</v>
      </c>
      <c r="B74" s="8" t="s">
        <v>11</v>
      </c>
      <c r="C74" s="7"/>
      <c r="D74" s="7"/>
      <c r="E74" s="8" t="s">
        <v>11</v>
      </c>
      <c r="F74" s="7"/>
      <c r="J74" s="37" t="str">
        <f t="shared" si="0"/>
        <v/>
      </c>
      <c r="K74" s="37" t="b">
        <f t="shared" si="1"/>
        <v>1</v>
      </c>
      <c r="L74" s="37" t="b">
        <f t="shared" si="2"/>
        <v>1</v>
      </c>
      <c r="M74" s="37" t="str">
        <f t="shared" si="3"/>
        <v/>
      </c>
      <c r="N74" s="37" t="b">
        <f t="shared" si="4"/>
        <v>1</v>
      </c>
      <c r="O74" s="37" t="b">
        <f t="shared" si="5"/>
        <v>1</v>
      </c>
      <c r="R74" s="7" t="s">
        <v>11</v>
      </c>
      <c r="U74" s="7" t="s">
        <v>11</v>
      </c>
    </row>
    <row r="75" spans="1:23" x14ac:dyDescent="0.25">
      <c r="A75" s="15" t="s">
        <v>154</v>
      </c>
      <c r="B75" s="8" t="s">
        <v>11</v>
      </c>
      <c r="C75" s="7"/>
      <c r="D75" s="7"/>
      <c r="E75" s="8" t="s">
        <v>11</v>
      </c>
      <c r="F75" s="7"/>
      <c r="J75" s="37" t="str">
        <f t="shared" si="0"/>
        <v/>
      </c>
      <c r="K75" s="37" t="b">
        <f t="shared" si="1"/>
        <v>1</v>
      </c>
      <c r="L75" s="37" t="b">
        <f t="shared" si="2"/>
        <v>1</v>
      </c>
      <c r="M75" s="37" t="str">
        <f t="shared" si="3"/>
        <v/>
      </c>
      <c r="N75" s="37" t="b">
        <f t="shared" si="4"/>
        <v>1</v>
      </c>
      <c r="O75" s="37" t="b">
        <f t="shared" si="5"/>
        <v>1</v>
      </c>
      <c r="R75" s="7" t="s">
        <v>11</v>
      </c>
      <c r="U75" s="7" t="s">
        <v>11</v>
      </c>
    </row>
    <row r="76" spans="1:23" x14ac:dyDescent="0.25">
      <c r="A76" s="15" t="s">
        <v>74</v>
      </c>
      <c r="B76" s="31">
        <v>40.299999999999997</v>
      </c>
      <c r="C76" s="7"/>
      <c r="D76" s="8" t="s">
        <v>293</v>
      </c>
      <c r="E76" s="31">
        <v>36.799999999999997</v>
      </c>
      <c r="F76" s="7"/>
      <c r="G76" s="8" t="s">
        <v>293</v>
      </c>
      <c r="J76" s="37">
        <f t="shared" ref="J76:J139" si="6">IF(ISNUMBER(B76),B76-R76,"")</f>
        <v>-6.8000000000000043</v>
      </c>
      <c r="K76" s="37" t="b">
        <f t="shared" ref="K76:K139" si="7">C76=S76</f>
        <v>0</v>
      </c>
      <c r="L76" s="37" t="b">
        <f t="shared" ref="L76:L139" si="8">D76=T76</f>
        <v>0</v>
      </c>
      <c r="M76" s="37">
        <f t="shared" ref="M76:M139" si="9">IF(ISNUMBER(E76),E76-U76,"")</f>
        <v>-21.1</v>
      </c>
      <c r="N76" s="37" t="b">
        <f t="shared" ref="N76:N139" si="10">F76=V76</f>
        <v>0</v>
      </c>
      <c r="O76" s="37" t="b">
        <f t="shared" ref="O76:O139" si="11">G76=W76</f>
        <v>0</v>
      </c>
      <c r="R76" s="7">
        <v>47.1</v>
      </c>
      <c r="S76" s="7" t="s">
        <v>28</v>
      </c>
      <c r="T76" s="7" t="s">
        <v>52</v>
      </c>
      <c r="U76" s="7">
        <v>57.9</v>
      </c>
      <c r="V76" s="7" t="s">
        <v>28</v>
      </c>
      <c r="W76" s="7" t="s">
        <v>52</v>
      </c>
    </row>
    <row r="77" spans="1:23" x14ac:dyDescent="0.25">
      <c r="A77" s="14" t="s">
        <v>78</v>
      </c>
      <c r="B77" s="31">
        <v>50.2</v>
      </c>
      <c r="C77" s="7"/>
      <c r="D77" s="8" t="s">
        <v>79</v>
      </c>
      <c r="E77" s="31">
        <v>56.8</v>
      </c>
      <c r="F77" s="7"/>
      <c r="G77" s="8" t="s">
        <v>79</v>
      </c>
      <c r="J77" s="37">
        <f t="shared" si="6"/>
        <v>0</v>
      </c>
      <c r="K77" s="37" t="b">
        <f t="shared" si="7"/>
        <v>1</v>
      </c>
      <c r="L77" s="37" t="b">
        <f t="shared" si="8"/>
        <v>1</v>
      </c>
      <c r="M77" s="37">
        <f t="shared" si="9"/>
        <v>0</v>
      </c>
      <c r="N77" s="37" t="b">
        <f t="shared" si="10"/>
        <v>1</v>
      </c>
      <c r="O77" s="37" t="b">
        <f t="shared" si="11"/>
        <v>1</v>
      </c>
      <c r="R77" s="7">
        <v>50.2</v>
      </c>
      <c r="T77" s="7" t="s">
        <v>79</v>
      </c>
      <c r="U77" s="7">
        <v>56.8</v>
      </c>
      <c r="W77" s="7" t="s">
        <v>79</v>
      </c>
    </row>
    <row r="78" spans="1:23" x14ac:dyDescent="0.25">
      <c r="A78" s="14" t="s">
        <v>105</v>
      </c>
      <c r="B78" s="8">
        <v>0</v>
      </c>
      <c r="C78" s="7"/>
      <c r="D78" s="7" t="s">
        <v>312</v>
      </c>
      <c r="E78" s="8">
        <v>0</v>
      </c>
      <c r="F78" s="7"/>
      <c r="G78" s="7" t="s">
        <v>319</v>
      </c>
      <c r="J78" s="37" t="e">
        <f t="shared" si="6"/>
        <v>#VALUE!</v>
      </c>
      <c r="K78" s="37" t="b">
        <f t="shared" si="7"/>
        <v>1</v>
      </c>
      <c r="L78" s="37" t="b">
        <f t="shared" si="8"/>
        <v>0</v>
      </c>
      <c r="M78" s="37" t="e">
        <f t="shared" si="9"/>
        <v>#VALUE!</v>
      </c>
      <c r="N78" s="37" t="b">
        <f t="shared" si="10"/>
        <v>1</v>
      </c>
      <c r="O78" s="37" t="b">
        <f t="shared" si="11"/>
        <v>0</v>
      </c>
      <c r="R78" s="7" t="s">
        <v>11</v>
      </c>
      <c r="U78" s="7" t="s">
        <v>11</v>
      </c>
    </row>
    <row r="79" spans="1:23" x14ac:dyDescent="0.25">
      <c r="A79" s="14" t="s">
        <v>160</v>
      </c>
      <c r="B79" s="8" t="s">
        <v>11</v>
      </c>
      <c r="C79" s="7"/>
      <c r="D79" s="7"/>
      <c r="E79" s="8" t="s">
        <v>11</v>
      </c>
      <c r="F79" s="7"/>
      <c r="J79" s="37" t="str">
        <f t="shared" si="6"/>
        <v/>
      </c>
      <c r="K79" s="37" t="b">
        <f t="shared" si="7"/>
        <v>1</v>
      </c>
      <c r="L79" s="37" t="b">
        <f t="shared" si="8"/>
        <v>1</v>
      </c>
      <c r="M79" s="37" t="str">
        <f t="shared" si="9"/>
        <v/>
      </c>
      <c r="N79" s="37" t="b">
        <f t="shared" si="10"/>
        <v>1</v>
      </c>
      <c r="O79" s="37" t="b">
        <f t="shared" si="11"/>
        <v>1</v>
      </c>
      <c r="R79" s="7" t="s">
        <v>11</v>
      </c>
      <c r="U79" s="7" t="s">
        <v>11</v>
      </c>
    </row>
    <row r="80" spans="1:23" x14ac:dyDescent="0.25">
      <c r="A80" s="14" t="s">
        <v>81</v>
      </c>
      <c r="B80" s="31">
        <v>25.9</v>
      </c>
      <c r="C80" s="7"/>
      <c r="D80" s="8" t="s">
        <v>305</v>
      </c>
      <c r="E80" s="31">
        <v>24.7</v>
      </c>
      <c r="F80" s="7"/>
      <c r="G80" s="8" t="s">
        <v>305</v>
      </c>
      <c r="J80" s="37">
        <f t="shared" si="6"/>
        <v>4.1999999999999993</v>
      </c>
      <c r="K80" s="37" t="b">
        <f t="shared" si="7"/>
        <v>1</v>
      </c>
      <c r="L80" s="37" t="b">
        <f t="shared" si="8"/>
        <v>0</v>
      </c>
      <c r="M80" s="37">
        <f t="shared" si="9"/>
        <v>-12.400000000000002</v>
      </c>
      <c r="N80" s="37" t="b">
        <f t="shared" si="10"/>
        <v>1</v>
      </c>
      <c r="O80" s="37" t="b">
        <f t="shared" si="11"/>
        <v>0</v>
      </c>
      <c r="R80" s="7">
        <v>21.7</v>
      </c>
      <c r="T80" s="7" t="s">
        <v>62</v>
      </c>
      <c r="U80" s="7">
        <v>37.1</v>
      </c>
      <c r="W80" s="7" t="s">
        <v>62</v>
      </c>
    </row>
    <row r="81" spans="1:23" x14ac:dyDescent="0.25">
      <c r="A81" s="14" t="s">
        <v>165</v>
      </c>
      <c r="B81" s="8" t="s">
        <v>11</v>
      </c>
      <c r="C81" s="7"/>
      <c r="D81" s="7"/>
      <c r="E81" s="8" t="s">
        <v>11</v>
      </c>
      <c r="F81" s="7"/>
      <c r="J81" s="37" t="str">
        <f t="shared" si="6"/>
        <v/>
      </c>
      <c r="K81" s="37" t="b">
        <f t="shared" si="7"/>
        <v>1</v>
      </c>
      <c r="L81" s="37" t="b">
        <f t="shared" si="8"/>
        <v>1</v>
      </c>
      <c r="M81" s="37" t="str">
        <f t="shared" si="9"/>
        <v/>
      </c>
      <c r="N81" s="37" t="b">
        <f t="shared" si="10"/>
        <v>1</v>
      </c>
      <c r="O81" s="37" t="b">
        <f t="shared" si="11"/>
        <v>1</v>
      </c>
      <c r="R81" s="7" t="s">
        <v>11</v>
      </c>
      <c r="U81" s="7" t="s">
        <v>11</v>
      </c>
    </row>
    <row r="82" spans="1:23" x14ac:dyDescent="0.25">
      <c r="A82" s="15" t="s">
        <v>167</v>
      </c>
      <c r="B82" s="8" t="s">
        <v>11</v>
      </c>
      <c r="C82" s="7"/>
      <c r="D82" s="7"/>
      <c r="E82" s="8" t="s">
        <v>11</v>
      </c>
      <c r="F82" s="7"/>
      <c r="J82" s="37" t="str">
        <f t="shared" si="6"/>
        <v/>
      </c>
      <c r="K82" s="37" t="b">
        <f t="shared" si="7"/>
        <v>1</v>
      </c>
      <c r="L82" s="37" t="b">
        <f t="shared" si="8"/>
        <v>1</v>
      </c>
      <c r="M82" s="37" t="str">
        <f t="shared" si="9"/>
        <v/>
      </c>
      <c r="N82" s="37" t="b">
        <f t="shared" si="10"/>
        <v>1</v>
      </c>
      <c r="O82" s="37" t="b">
        <f t="shared" si="11"/>
        <v>1</v>
      </c>
      <c r="R82" s="7" t="s">
        <v>11</v>
      </c>
      <c r="U82" s="7" t="s">
        <v>11</v>
      </c>
    </row>
    <row r="83" spans="1:23" x14ac:dyDescent="0.25">
      <c r="A83" s="15" t="s">
        <v>82</v>
      </c>
      <c r="B83" s="31">
        <v>12.3</v>
      </c>
      <c r="C83" s="7"/>
      <c r="D83" s="8" t="s">
        <v>83</v>
      </c>
      <c r="E83" s="31">
        <v>13.5</v>
      </c>
      <c r="F83" s="7"/>
      <c r="G83" s="8" t="s">
        <v>83</v>
      </c>
      <c r="J83" s="37">
        <f t="shared" si="6"/>
        <v>0</v>
      </c>
      <c r="K83" s="37" t="b">
        <f t="shared" si="7"/>
        <v>1</v>
      </c>
      <c r="L83" s="37" t="b">
        <f t="shared" si="8"/>
        <v>1</v>
      </c>
      <c r="M83" s="37">
        <f t="shared" si="9"/>
        <v>0</v>
      </c>
      <c r="N83" s="37" t="b">
        <f t="shared" si="10"/>
        <v>1</v>
      </c>
      <c r="O83" s="37" t="b">
        <f t="shared" si="11"/>
        <v>1</v>
      </c>
      <c r="R83" s="7">
        <v>12.3</v>
      </c>
      <c r="T83" s="7" t="s">
        <v>83</v>
      </c>
      <c r="U83" s="7">
        <v>13.5</v>
      </c>
      <c r="W83" s="7" t="s">
        <v>83</v>
      </c>
    </row>
    <row r="84" spans="1:23" x14ac:dyDescent="0.25">
      <c r="A84" s="15" t="s">
        <v>84</v>
      </c>
      <c r="B84" s="31">
        <v>56.9</v>
      </c>
      <c r="C84" s="7"/>
      <c r="D84" s="8" t="s">
        <v>43</v>
      </c>
      <c r="E84" s="31">
        <v>64.599999999999994</v>
      </c>
      <c r="F84" s="7"/>
      <c r="G84" s="8" t="s">
        <v>43</v>
      </c>
      <c r="J84" s="37">
        <f t="shared" si="6"/>
        <v>0</v>
      </c>
      <c r="K84" s="37" t="b">
        <f t="shared" si="7"/>
        <v>1</v>
      </c>
      <c r="L84" s="37" t="b">
        <f t="shared" si="8"/>
        <v>1</v>
      </c>
      <c r="M84" s="37">
        <f t="shared" si="9"/>
        <v>0</v>
      </c>
      <c r="N84" s="37" t="b">
        <f t="shared" si="10"/>
        <v>1</v>
      </c>
      <c r="O84" s="37" t="b">
        <f t="shared" si="11"/>
        <v>1</v>
      </c>
      <c r="R84" s="7">
        <v>56.9</v>
      </c>
      <c r="T84" s="7" t="s">
        <v>43</v>
      </c>
      <c r="U84" s="7">
        <v>64.599999999999994</v>
      </c>
      <c r="W84" s="7" t="s">
        <v>43</v>
      </c>
    </row>
    <row r="85" spans="1:23" x14ac:dyDescent="0.25">
      <c r="A85" s="14" t="s">
        <v>85</v>
      </c>
      <c r="B85" s="31">
        <v>29.5</v>
      </c>
      <c r="C85" s="7"/>
      <c r="D85" s="8" t="s">
        <v>12</v>
      </c>
      <c r="E85" s="31">
        <v>33.700000000000003</v>
      </c>
      <c r="F85" s="7"/>
      <c r="G85" s="8" t="s">
        <v>12</v>
      </c>
      <c r="J85" s="37">
        <f t="shared" si="6"/>
        <v>0</v>
      </c>
      <c r="K85" s="37" t="b">
        <f t="shared" si="7"/>
        <v>1</v>
      </c>
      <c r="L85" s="37" t="b">
        <f t="shared" si="8"/>
        <v>1</v>
      </c>
      <c r="M85" s="37">
        <f t="shared" si="9"/>
        <v>0</v>
      </c>
      <c r="N85" s="37" t="b">
        <f t="shared" si="10"/>
        <v>1</v>
      </c>
      <c r="O85" s="37" t="b">
        <f t="shared" si="11"/>
        <v>1</v>
      </c>
      <c r="R85" s="7">
        <v>29.5</v>
      </c>
      <c r="T85" s="7" t="s">
        <v>12</v>
      </c>
      <c r="U85" s="7">
        <v>33.700000000000003</v>
      </c>
      <c r="W85" s="7" t="s">
        <v>12</v>
      </c>
    </row>
    <row r="86" spans="1:23" x14ac:dyDescent="0.25">
      <c r="A86" s="14" t="s">
        <v>87</v>
      </c>
      <c r="B86" s="31">
        <v>10.4</v>
      </c>
      <c r="C86" s="7"/>
      <c r="D86" s="8" t="s">
        <v>211</v>
      </c>
      <c r="E86" s="31">
        <v>11.9</v>
      </c>
      <c r="F86" s="7"/>
      <c r="G86" s="8" t="s">
        <v>211</v>
      </c>
      <c r="J86" s="37">
        <f t="shared" si="6"/>
        <v>-3.6999999999999993</v>
      </c>
      <c r="K86" s="37" t="b">
        <f t="shared" si="7"/>
        <v>0</v>
      </c>
      <c r="L86" s="37" t="b">
        <f t="shared" si="8"/>
        <v>0</v>
      </c>
      <c r="M86" s="37">
        <f t="shared" si="9"/>
        <v>1.8000000000000007</v>
      </c>
      <c r="N86" s="37" t="b">
        <f t="shared" si="10"/>
        <v>0</v>
      </c>
      <c r="O86" s="37" t="b">
        <f t="shared" si="11"/>
        <v>0</v>
      </c>
      <c r="R86" s="7">
        <v>14.1</v>
      </c>
      <c r="S86" s="7" t="s">
        <v>28</v>
      </c>
      <c r="T86" s="7" t="s">
        <v>69</v>
      </c>
      <c r="U86" s="7">
        <v>10.1</v>
      </c>
      <c r="V86" s="7" t="s">
        <v>28</v>
      </c>
      <c r="W86" s="7" t="s">
        <v>69</v>
      </c>
    </row>
    <row r="87" spans="1:23" x14ac:dyDescent="0.25">
      <c r="A87" s="14" t="s">
        <v>89</v>
      </c>
      <c r="B87" s="31">
        <v>15.2</v>
      </c>
      <c r="C87" s="7"/>
      <c r="D87" s="8" t="s">
        <v>36</v>
      </c>
      <c r="E87" s="31">
        <v>23.3</v>
      </c>
      <c r="F87" s="7"/>
      <c r="G87" s="8" t="s">
        <v>36</v>
      </c>
      <c r="J87" s="37">
        <f t="shared" si="6"/>
        <v>0</v>
      </c>
      <c r="K87" s="37" t="b">
        <f t="shared" si="7"/>
        <v>1</v>
      </c>
      <c r="L87" s="37" t="b">
        <f t="shared" si="8"/>
        <v>1</v>
      </c>
      <c r="M87" s="37">
        <f t="shared" si="9"/>
        <v>0</v>
      </c>
      <c r="N87" s="37" t="b">
        <f t="shared" si="10"/>
        <v>1</v>
      </c>
      <c r="O87" s="37" t="b">
        <f t="shared" si="11"/>
        <v>1</v>
      </c>
      <c r="R87" s="7">
        <v>15.2</v>
      </c>
      <c r="T87" s="7" t="s">
        <v>36</v>
      </c>
      <c r="U87" s="7">
        <v>23.3</v>
      </c>
      <c r="W87" s="7" t="s">
        <v>36</v>
      </c>
    </row>
    <row r="88" spans="1:23" x14ac:dyDescent="0.25">
      <c r="A88" s="15" t="s">
        <v>175</v>
      </c>
      <c r="B88" s="8" t="s">
        <v>11</v>
      </c>
      <c r="C88" s="7"/>
      <c r="D88" s="7"/>
      <c r="E88" s="8" t="s">
        <v>11</v>
      </c>
      <c r="F88" s="7"/>
      <c r="J88" s="37" t="str">
        <f t="shared" si="6"/>
        <v/>
      </c>
      <c r="K88" s="37" t="b">
        <f t="shared" si="7"/>
        <v>1</v>
      </c>
      <c r="L88" s="37" t="b">
        <f t="shared" si="8"/>
        <v>1</v>
      </c>
      <c r="M88" s="37" t="str">
        <f t="shared" si="9"/>
        <v/>
      </c>
      <c r="N88" s="37" t="b">
        <f t="shared" si="10"/>
        <v>1</v>
      </c>
      <c r="O88" s="37" t="b">
        <f t="shared" si="11"/>
        <v>1</v>
      </c>
      <c r="R88" s="7" t="s">
        <v>11</v>
      </c>
      <c r="U88" s="7" t="s">
        <v>11</v>
      </c>
    </row>
    <row r="89" spans="1:23" x14ac:dyDescent="0.25">
      <c r="A89" s="15" t="s">
        <v>93</v>
      </c>
      <c r="B89" s="31">
        <v>6.5</v>
      </c>
      <c r="C89" s="7"/>
      <c r="D89" s="8" t="s">
        <v>18</v>
      </c>
      <c r="E89" s="31">
        <v>7.2</v>
      </c>
      <c r="F89" s="7"/>
      <c r="G89" s="8" t="s">
        <v>18</v>
      </c>
      <c r="J89" s="37">
        <f t="shared" si="6"/>
        <v>-1.7000000000000348E-2</v>
      </c>
      <c r="K89" s="37" t="b">
        <f t="shared" si="7"/>
        <v>1</v>
      </c>
      <c r="L89" s="37" t="b">
        <f t="shared" si="8"/>
        <v>1</v>
      </c>
      <c r="M89" s="37">
        <f t="shared" si="9"/>
        <v>1.7999999999999794E-2</v>
      </c>
      <c r="N89" s="37" t="b">
        <f t="shared" si="10"/>
        <v>1</v>
      </c>
      <c r="O89" s="37" t="b">
        <f t="shared" si="11"/>
        <v>1</v>
      </c>
      <c r="R89" s="7">
        <v>6.5170000000000003</v>
      </c>
      <c r="T89" s="7" t="s">
        <v>18</v>
      </c>
      <c r="U89" s="7">
        <v>7.1820000000000004</v>
      </c>
      <c r="W89" s="7" t="s">
        <v>18</v>
      </c>
    </row>
    <row r="90" spans="1:23" x14ac:dyDescent="0.25">
      <c r="A90" s="15" t="s">
        <v>180</v>
      </c>
      <c r="B90" s="8" t="s">
        <v>11</v>
      </c>
      <c r="C90" s="7"/>
      <c r="D90" s="7"/>
      <c r="E90" s="8" t="s">
        <v>11</v>
      </c>
      <c r="F90" s="7"/>
      <c r="J90" s="37" t="str">
        <f t="shared" si="6"/>
        <v/>
      </c>
      <c r="K90" s="37" t="b">
        <f t="shared" si="7"/>
        <v>1</v>
      </c>
      <c r="L90" s="37" t="b">
        <f t="shared" si="8"/>
        <v>1</v>
      </c>
      <c r="M90" s="37" t="str">
        <f t="shared" si="9"/>
        <v/>
      </c>
      <c r="N90" s="37" t="b">
        <f t="shared" si="10"/>
        <v>1</v>
      </c>
      <c r="O90" s="37" t="b">
        <f t="shared" si="11"/>
        <v>1</v>
      </c>
      <c r="R90" s="7" t="s">
        <v>11</v>
      </c>
      <c r="U90" s="7" t="s">
        <v>11</v>
      </c>
    </row>
    <row r="91" spans="1:23" x14ac:dyDescent="0.25">
      <c r="A91" s="15" t="s">
        <v>182</v>
      </c>
      <c r="B91" s="8" t="s">
        <v>11</v>
      </c>
      <c r="C91" s="7"/>
      <c r="D91" s="7"/>
      <c r="E91" s="8" t="s">
        <v>11</v>
      </c>
      <c r="F91" s="7"/>
      <c r="J91" s="37" t="str">
        <f t="shared" si="6"/>
        <v/>
      </c>
      <c r="K91" s="37" t="b">
        <f t="shared" si="7"/>
        <v>1</v>
      </c>
      <c r="L91" s="37" t="b">
        <f t="shared" si="8"/>
        <v>1</v>
      </c>
      <c r="M91" s="37" t="str">
        <f t="shared" si="9"/>
        <v/>
      </c>
      <c r="N91" s="37" t="b">
        <f t="shared" si="10"/>
        <v>1</v>
      </c>
      <c r="O91" s="37" t="b">
        <f t="shared" si="11"/>
        <v>1</v>
      </c>
      <c r="R91" s="7" t="s">
        <v>11</v>
      </c>
      <c r="U91" s="7" t="s">
        <v>11</v>
      </c>
    </row>
    <row r="92" spans="1:23" x14ac:dyDescent="0.25">
      <c r="A92" s="15" t="s">
        <v>95</v>
      </c>
      <c r="B92" s="32">
        <v>35.200000000000003</v>
      </c>
      <c r="C92" s="7"/>
      <c r="D92" s="8" t="s">
        <v>291</v>
      </c>
      <c r="E92" s="31">
        <v>34.9</v>
      </c>
      <c r="F92" s="7"/>
      <c r="G92" s="8" t="s">
        <v>291</v>
      </c>
      <c r="J92" s="37">
        <f t="shared" si="6"/>
        <v>0.70000000000000284</v>
      </c>
      <c r="K92" s="37" t="b">
        <f t="shared" si="7"/>
        <v>1</v>
      </c>
      <c r="L92" s="37" t="b">
        <f t="shared" si="8"/>
        <v>0</v>
      </c>
      <c r="M92" s="37">
        <f t="shared" si="9"/>
        <v>-1.1000000000002785E-2</v>
      </c>
      <c r="N92" s="37" t="b">
        <f t="shared" si="10"/>
        <v>1</v>
      </c>
      <c r="O92" s="37" t="b">
        <f t="shared" si="11"/>
        <v>1</v>
      </c>
      <c r="R92" s="7">
        <v>34.5</v>
      </c>
      <c r="T92" s="7" t="s">
        <v>96</v>
      </c>
      <c r="U92" s="7">
        <v>34.911000000000001</v>
      </c>
      <c r="W92" s="7" t="s">
        <v>291</v>
      </c>
    </row>
    <row r="93" spans="1:23" x14ac:dyDescent="0.25">
      <c r="A93" s="15" t="s">
        <v>97</v>
      </c>
      <c r="B93" s="31">
        <v>31.6</v>
      </c>
      <c r="C93" s="7" t="s">
        <v>234</v>
      </c>
      <c r="D93" s="8" t="s">
        <v>98</v>
      </c>
      <c r="E93" s="31">
        <v>40.299999999999997</v>
      </c>
      <c r="F93" s="7"/>
      <c r="G93" s="8" t="s">
        <v>98</v>
      </c>
      <c r="J93" s="37">
        <f t="shared" si="6"/>
        <v>0</v>
      </c>
      <c r="K93" s="37" t="b">
        <f t="shared" si="7"/>
        <v>1</v>
      </c>
      <c r="L93" s="37" t="b">
        <f t="shared" si="8"/>
        <v>1</v>
      </c>
      <c r="M93" s="37">
        <f t="shared" si="9"/>
        <v>0</v>
      </c>
      <c r="N93" s="37" t="b">
        <f t="shared" si="10"/>
        <v>1</v>
      </c>
      <c r="O93" s="37" t="b">
        <f t="shared" si="11"/>
        <v>1</v>
      </c>
      <c r="R93" s="7">
        <v>31.6</v>
      </c>
      <c r="S93" s="7" t="s">
        <v>234</v>
      </c>
      <c r="T93" s="7" t="s">
        <v>98</v>
      </c>
      <c r="U93" s="7">
        <v>40.299999999999997</v>
      </c>
      <c r="W93" s="7" t="s">
        <v>98</v>
      </c>
    </row>
    <row r="94" spans="1:23" x14ac:dyDescent="0.25">
      <c r="A94" s="15" t="s">
        <v>187</v>
      </c>
      <c r="B94" s="8" t="s">
        <v>11</v>
      </c>
      <c r="C94" s="7"/>
      <c r="D94" s="7"/>
      <c r="E94" s="8" t="s">
        <v>11</v>
      </c>
      <c r="F94" s="7"/>
      <c r="J94" s="37" t="str">
        <f t="shared" si="6"/>
        <v/>
      </c>
      <c r="K94" s="37" t="b">
        <f t="shared" si="7"/>
        <v>1</v>
      </c>
      <c r="L94" s="37" t="b">
        <f t="shared" si="8"/>
        <v>1</v>
      </c>
      <c r="M94" s="37" t="str">
        <f t="shared" si="9"/>
        <v/>
      </c>
      <c r="N94" s="37" t="b">
        <f t="shared" si="10"/>
        <v>1</v>
      </c>
      <c r="O94" s="37" t="b">
        <f t="shared" si="11"/>
        <v>1</v>
      </c>
      <c r="R94" s="7" t="s">
        <v>11</v>
      </c>
      <c r="U94" s="7" t="s">
        <v>11</v>
      </c>
    </row>
    <row r="95" spans="1:23" x14ac:dyDescent="0.25">
      <c r="A95" s="14" t="s">
        <v>123</v>
      </c>
      <c r="B95" s="8" t="s">
        <v>11</v>
      </c>
      <c r="C95" s="7"/>
      <c r="D95" s="7"/>
      <c r="E95" s="31">
        <v>31.3</v>
      </c>
      <c r="F95" s="7"/>
      <c r="G95" s="8" t="s">
        <v>107</v>
      </c>
      <c r="J95" s="37" t="str">
        <f t="shared" si="6"/>
        <v/>
      </c>
      <c r="K95" s="37" t="b">
        <f t="shared" si="7"/>
        <v>1</v>
      </c>
      <c r="L95" s="37" t="b">
        <f t="shared" si="8"/>
        <v>1</v>
      </c>
      <c r="M95" s="37">
        <f t="shared" si="9"/>
        <v>0</v>
      </c>
      <c r="N95" s="37" t="b">
        <f t="shared" si="10"/>
        <v>1</v>
      </c>
      <c r="O95" s="37" t="b">
        <f t="shared" si="11"/>
        <v>1</v>
      </c>
      <c r="R95" s="7" t="s">
        <v>11</v>
      </c>
      <c r="U95" s="7">
        <v>31.3</v>
      </c>
      <c r="W95" s="7" t="s">
        <v>107</v>
      </c>
    </row>
    <row r="96" spans="1:23" x14ac:dyDescent="0.25">
      <c r="A96" s="15" t="s">
        <v>190</v>
      </c>
      <c r="B96" s="8" t="s">
        <v>11</v>
      </c>
      <c r="C96" s="7"/>
      <c r="D96" s="7"/>
      <c r="E96" s="8" t="s">
        <v>11</v>
      </c>
      <c r="F96" s="7"/>
      <c r="J96" s="37" t="str">
        <f t="shared" si="6"/>
        <v/>
      </c>
      <c r="K96" s="37" t="b">
        <f t="shared" si="7"/>
        <v>1</v>
      </c>
      <c r="L96" s="37" t="b">
        <f t="shared" si="8"/>
        <v>1</v>
      </c>
      <c r="M96" s="37" t="str">
        <f t="shared" si="9"/>
        <v/>
      </c>
      <c r="N96" s="37" t="b">
        <f t="shared" si="10"/>
        <v>1</v>
      </c>
      <c r="O96" s="37" t="b">
        <f t="shared" si="11"/>
        <v>1</v>
      </c>
      <c r="R96" s="7" t="s">
        <v>11</v>
      </c>
      <c r="U96" s="7" t="s">
        <v>11</v>
      </c>
    </row>
    <row r="97" spans="1:23" x14ac:dyDescent="0.25">
      <c r="A97" s="15" t="s">
        <v>192</v>
      </c>
      <c r="B97" s="8" t="s">
        <v>11</v>
      </c>
      <c r="C97" s="7"/>
      <c r="D97" s="7"/>
      <c r="E97" s="8" t="s">
        <v>11</v>
      </c>
      <c r="F97" s="7"/>
      <c r="J97" s="37" t="str">
        <f t="shared" si="6"/>
        <v/>
      </c>
      <c r="K97" s="37" t="b">
        <f t="shared" si="7"/>
        <v>1</v>
      </c>
      <c r="L97" s="37" t="b">
        <f t="shared" si="8"/>
        <v>1</v>
      </c>
      <c r="M97" s="37" t="str">
        <f t="shared" si="9"/>
        <v/>
      </c>
      <c r="N97" s="37" t="b">
        <f t="shared" si="10"/>
        <v>1</v>
      </c>
      <c r="O97" s="37" t="b">
        <f t="shared" si="11"/>
        <v>1</v>
      </c>
      <c r="R97" s="7" t="s">
        <v>11</v>
      </c>
      <c r="U97" s="7" t="s">
        <v>11</v>
      </c>
    </row>
    <row r="98" spans="1:23" x14ac:dyDescent="0.25">
      <c r="A98" s="15" t="s">
        <v>194</v>
      </c>
      <c r="B98" s="8" t="s">
        <v>11</v>
      </c>
      <c r="C98" s="7"/>
      <c r="D98" s="7"/>
      <c r="E98" s="8" t="s">
        <v>11</v>
      </c>
      <c r="F98" s="7"/>
      <c r="J98" s="37" t="str">
        <f t="shared" si="6"/>
        <v/>
      </c>
      <c r="K98" s="37" t="b">
        <f t="shared" si="7"/>
        <v>1</v>
      </c>
      <c r="L98" s="37" t="b">
        <f t="shared" si="8"/>
        <v>1</v>
      </c>
      <c r="M98" s="37" t="str">
        <f t="shared" si="9"/>
        <v/>
      </c>
      <c r="N98" s="37" t="b">
        <f t="shared" si="10"/>
        <v>1</v>
      </c>
      <c r="O98" s="37" t="b">
        <f t="shared" si="11"/>
        <v>1</v>
      </c>
      <c r="R98" s="7" t="s">
        <v>11</v>
      </c>
      <c r="U98" s="7" t="s">
        <v>11</v>
      </c>
    </row>
    <row r="99" spans="1:23" x14ac:dyDescent="0.25">
      <c r="A99" s="14" t="s">
        <v>127</v>
      </c>
      <c r="B99" s="32">
        <v>28.4</v>
      </c>
      <c r="C99" s="7" t="s">
        <v>311</v>
      </c>
      <c r="D99" s="8" t="s">
        <v>277</v>
      </c>
      <c r="E99" s="31">
        <v>6.9</v>
      </c>
      <c r="F99" s="7"/>
      <c r="G99" s="8" t="s">
        <v>303</v>
      </c>
      <c r="J99" s="37">
        <f t="shared" si="6"/>
        <v>0</v>
      </c>
      <c r="K99" s="37" t="b">
        <f t="shared" si="7"/>
        <v>0</v>
      </c>
      <c r="L99" s="37" t="b">
        <f t="shared" si="8"/>
        <v>1</v>
      </c>
      <c r="M99" s="37">
        <f t="shared" si="9"/>
        <v>-9.9999999999999982</v>
      </c>
      <c r="N99" s="37" t="b">
        <f t="shared" si="10"/>
        <v>1</v>
      </c>
      <c r="O99" s="37" t="b">
        <f t="shared" si="11"/>
        <v>0</v>
      </c>
      <c r="R99" s="7">
        <v>28.4</v>
      </c>
      <c r="S99" s="7" t="s">
        <v>209</v>
      </c>
      <c r="T99" s="7" t="s">
        <v>277</v>
      </c>
      <c r="U99" s="7">
        <v>16.899999999999999</v>
      </c>
      <c r="W99" s="7" t="s">
        <v>128</v>
      </c>
    </row>
    <row r="100" spans="1:23" x14ac:dyDescent="0.25">
      <c r="A100" s="14" t="s">
        <v>198</v>
      </c>
      <c r="B100" s="8" t="s">
        <v>11</v>
      </c>
      <c r="C100" s="7"/>
      <c r="D100" s="7"/>
      <c r="E100" s="8" t="s">
        <v>11</v>
      </c>
      <c r="F100" s="7"/>
      <c r="J100" s="37" t="str">
        <f t="shared" si="6"/>
        <v/>
      </c>
      <c r="K100" s="37" t="b">
        <f t="shared" si="7"/>
        <v>1</v>
      </c>
      <c r="L100" s="37" t="b">
        <f t="shared" si="8"/>
        <v>1</v>
      </c>
      <c r="M100" s="37" t="str">
        <f t="shared" si="9"/>
        <v/>
      </c>
      <c r="N100" s="37" t="b">
        <f t="shared" si="10"/>
        <v>1</v>
      </c>
      <c r="O100" s="37" t="b">
        <f t="shared" si="11"/>
        <v>1</v>
      </c>
      <c r="R100" s="7" t="s">
        <v>11</v>
      </c>
      <c r="U100" s="7" t="s">
        <v>11</v>
      </c>
    </row>
    <row r="101" spans="1:23" x14ac:dyDescent="0.25">
      <c r="A101" s="14" t="s">
        <v>100</v>
      </c>
      <c r="B101" s="31">
        <v>21.7</v>
      </c>
      <c r="C101" s="7" t="s">
        <v>6</v>
      </c>
      <c r="D101" s="8" t="s">
        <v>313</v>
      </c>
      <c r="E101" s="31">
        <v>25.6</v>
      </c>
      <c r="F101" s="7" t="s">
        <v>6</v>
      </c>
      <c r="G101" s="8" t="s">
        <v>313</v>
      </c>
      <c r="J101" s="37">
        <f t="shared" si="6"/>
        <v>-42.5</v>
      </c>
      <c r="K101" s="37" t="b">
        <f t="shared" si="7"/>
        <v>1</v>
      </c>
      <c r="L101" s="37" t="b">
        <f t="shared" si="8"/>
        <v>0</v>
      </c>
      <c r="M101" s="37">
        <f t="shared" si="9"/>
        <v>-36.9</v>
      </c>
      <c r="N101" s="37" t="b">
        <f t="shared" si="10"/>
        <v>1</v>
      </c>
      <c r="O101" s="37" t="b">
        <f t="shared" si="11"/>
        <v>0</v>
      </c>
      <c r="R101" s="7">
        <v>64.2</v>
      </c>
      <c r="S101" s="7" t="s">
        <v>6</v>
      </c>
      <c r="T101" s="7" t="s">
        <v>9</v>
      </c>
      <c r="U101" s="7">
        <v>62.5</v>
      </c>
      <c r="V101" s="7" t="s">
        <v>6</v>
      </c>
      <c r="W101" s="7" t="s">
        <v>9</v>
      </c>
    </row>
    <row r="102" spans="1:23" x14ac:dyDescent="0.25">
      <c r="A102" s="14" t="s">
        <v>134</v>
      </c>
      <c r="B102" s="32">
        <v>13.5</v>
      </c>
      <c r="C102" s="7" t="s">
        <v>309</v>
      </c>
      <c r="D102" s="8" t="s">
        <v>278</v>
      </c>
      <c r="E102" s="31">
        <v>8.1999999999999993</v>
      </c>
      <c r="F102" s="7"/>
      <c r="G102" s="8" t="s">
        <v>23</v>
      </c>
      <c r="J102" s="37">
        <f t="shared" si="6"/>
        <v>0</v>
      </c>
      <c r="K102" s="37" t="b">
        <f t="shared" si="7"/>
        <v>0</v>
      </c>
      <c r="L102" s="37" t="b">
        <f t="shared" si="8"/>
        <v>1</v>
      </c>
      <c r="M102" s="37">
        <f t="shared" si="9"/>
        <v>0</v>
      </c>
      <c r="N102" s="37" t="b">
        <f t="shared" si="10"/>
        <v>1</v>
      </c>
      <c r="O102" s="37" t="b">
        <f t="shared" si="11"/>
        <v>1</v>
      </c>
      <c r="R102" s="7">
        <v>13.5</v>
      </c>
      <c r="S102" s="7" t="s">
        <v>28</v>
      </c>
      <c r="T102" s="7" t="s">
        <v>278</v>
      </c>
      <c r="U102" s="7">
        <v>8.1999999999999993</v>
      </c>
      <c r="W102" s="7" t="s">
        <v>23</v>
      </c>
    </row>
    <row r="103" spans="1:23" x14ac:dyDescent="0.25">
      <c r="A103" s="14" t="s">
        <v>102</v>
      </c>
      <c r="B103" s="31">
        <v>32.6</v>
      </c>
      <c r="C103" s="7" t="s">
        <v>6</v>
      </c>
      <c r="D103" s="8" t="s">
        <v>305</v>
      </c>
      <c r="E103" s="31">
        <v>37.4</v>
      </c>
      <c r="F103" s="7" t="s">
        <v>6</v>
      </c>
      <c r="G103" s="8" t="s">
        <v>305</v>
      </c>
      <c r="J103" s="37">
        <f t="shared" si="6"/>
        <v>-4.1000000000000014</v>
      </c>
      <c r="K103" s="37" t="b">
        <f t="shared" si="7"/>
        <v>0</v>
      </c>
      <c r="L103" s="37" t="b">
        <f t="shared" si="8"/>
        <v>0</v>
      </c>
      <c r="M103" s="37">
        <f t="shared" si="9"/>
        <v>-7.1000000000000014</v>
      </c>
      <c r="N103" s="37" t="b">
        <f t="shared" si="10"/>
        <v>0</v>
      </c>
      <c r="O103" s="37" t="b">
        <f t="shared" si="11"/>
        <v>0</v>
      </c>
      <c r="R103" s="7">
        <v>36.700000000000003</v>
      </c>
      <c r="S103" s="7" t="s">
        <v>28</v>
      </c>
      <c r="T103" s="7" t="s">
        <v>40</v>
      </c>
      <c r="U103" s="7">
        <v>44.5</v>
      </c>
      <c r="V103" s="7" t="s">
        <v>28</v>
      </c>
      <c r="W103" s="7" t="s">
        <v>40</v>
      </c>
    </row>
    <row r="104" spans="1:23" x14ac:dyDescent="0.25">
      <c r="A104" s="14" t="s">
        <v>103</v>
      </c>
      <c r="B104" s="31">
        <v>62.5</v>
      </c>
      <c r="C104" s="7"/>
      <c r="D104" s="8" t="s">
        <v>12</v>
      </c>
      <c r="E104" s="31">
        <v>64.099999999999994</v>
      </c>
      <c r="F104" s="7"/>
      <c r="G104" s="8" t="s">
        <v>12</v>
      </c>
      <c r="J104" s="37">
        <f t="shared" si="6"/>
        <v>0</v>
      </c>
      <c r="K104" s="37" t="b">
        <f t="shared" si="7"/>
        <v>1</v>
      </c>
      <c r="L104" s="37" t="b">
        <f t="shared" si="8"/>
        <v>1</v>
      </c>
      <c r="M104" s="37">
        <f t="shared" si="9"/>
        <v>0</v>
      </c>
      <c r="N104" s="37" t="b">
        <f t="shared" si="10"/>
        <v>1</v>
      </c>
      <c r="O104" s="37" t="b">
        <f t="shared" si="11"/>
        <v>1</v>
      </c>
      <c r="R104" s="7">
        <v>62.5</v>
      </c>
      <c r="T104" s="7" t="s">
        <v>12</v>
      </c>
      <c r="U104" s="7">
        <v>64.099999999999994</v>
      </c>
      <c r="W104" s="7" t="s">
        <v>12</v>
      </c>
    </row>
    <row r="105" spans="1:23" x14ac:dyDescent="0.25">
      <c r="A105" s="14" t="s">
        <v>306</v>
      </c>
      <c r="B105" s="31">
        <v>14.7</v>
      </c>
      <c r="C105" s="7"/>
      <c r="D105" s="8" t="s">
        <v>211</v>
      </c>
      <c r="E105" s="31">
        <v>19.5</v>
      </c>
      <c r="F105" s="7"/>
      <c r="G105" s="8" t="s">
        <v>211</v>
      </c>
      <c r="J105" s="37">
        <f t="shared" si="6"/>
        <v>14.7</v>
      </c>
      <c r="K105" s="37" t="b">
        <f t="shared" si="7"/>
        <v>1</v>
      </c>
      <c r="L105" s="37" t="b">
        <f t="shared" si="8"/>
        <v>0</v>
      </c>
      <c r="M105" s="37">
        <f t="shared" si="9"/>
        <v>19.5</v>
      </c>
      <c r="N105" s="37" t="b">
        <f t="shared" si="10"/>
        <v>1</v>
      </c>
      <c r="O105" s="37" t="b">
        <f t="shared" si="11"/>
        <v>0</v>
      </c>
    </row>
    <row r="106" spans="1:23" x14ac:dyDescent="0.25">
      <c r="A106" s="14" t="s">
        <v>203</v>
      </c>
      <c r="B106" s="8" t="s">
        <v>11</v>
      </c>
      <c r="C106" s="7"/>
      <c r="D106" s="7"/>
      <c r="E106" s="8" t="s">
        <v>11</v>
      </c>
      <c r="F106" s="7"/>
      <c r="J106" s="37" t="str">
        <f t="shared" si="6"/>
        <v/>
      </c>
      <c r="K106" s="37" t="b">
        <f t="shared" si="7"/>
        <v>1</v>
      </c>
      <c r="L106" s="37" t="b">
        <f t="shared" si="8"/>
        <v>1</v>
      </c>
      <c r="M106" s="37" t="str">
        <f t="shared" si="9"/>
        <v/>
      </c>
      <c r="N106" s="37" t="b">
        <f t="shared" si="10"/>
        <v>1</v>
      </c>
      <c r="O106" s="37" t="b">
        <f t="shared" si="11"/>
        <v>1</v>
      </c>
      <c r="R106" s="7" t="s">
        <v>11</v>
      </c>
      <c r="U106" s="7" t="s">
        <v>11</v>
      </c>
    </row>
    <row r="107" spans="1:23" x14ac:dyDescent="0.25">
      <c r="A107" s="14" t="s">
        <v>139</v>
      </c>
      <c r="B107" s="32">
        <v>39.5</v>
      </c>
      <c r="C107" s="7" t="s">
        <v>309</v>
      </c>
      <c r="D107" s="8" t="s">
        <v>52</v>
      </c>
      <c r="E107" s="31">
        <v>10.3</v>
      </c>
      <c r="F107" s="7"/>
      <c r="G107" s="8" t="s">
        <v>314</v>
      </c>
      <c r="J107" s="37">
        <f t="shared" si="6"/>
        <v>0</v>
      </c>
      <c r="K107" s="37" t="b">
        <f t="shared" si="7"/>
        <v>0</v>
      </c>
      <c r="L107" s="37" t="b">
        <f t="shared" si="8"/>
        <v>1</v>
      </c>
      <c r="M107" s="37">
        <f t="shared" si="9"/>
        <v>-13.8</v>
      </c>
      <c r="N107" s="37" t="b">
        <f t="shared" si="10"/>
        <v>1</v>
      </c>
      <c r="O107" s="37" t="b">
        <f t="shared" si="11"/>
        <v>0</v>
      </c>
      <c r="R107" s="7">
        <v>39.5</v>
      </c>
      <c r="S107" s="7" t="s">
        <v>28</v>
      </c>
      <c r="T107" s="7" t="s">
        <v>52</v>
      </c>
      <c r="U107" s="7">
        <v>24.1</v>
      </c>
      <c r="W107" s="7" t="s">
        <v>107</v>
      </c>
    </row>
    <row r="108" spans="1:23" x14ac:dyDescent="0.25">
      <c r="A108" s="14" t="s">
        <v>104</v>
      </c>
      <c r="B108" s="31">
        <v>9.6999999999999993</v>
      </c>
      <c r="C108" s="7"/>
      <c r="D108" s="8" t="s">
        <v>314</v>
      </c>
      <c r="E108" s="31">
        <v>12.5</v>
      </c>
      <c r="F108" s="7"/>
      <c r="G108" s="8" t="s">
        <v>314</v>
      </c>
      <c r="J108" s="37">
        <f t="shared" si="6"/>
        <v>-7.4000000000000021</v>
      </c>
      <c r="K108" s="37" t="b">
        <f t="shared" si="7"/>
        <v>1</v>
      </c>
      <c r="L108" s="37" t="b">
        <f t="shared" si="8"/>
        <v>0</v>
      </c>
      <c r="M108" s="37">
        <f t="shared" si="9"/>
        <v>-17.899999999999999</v>
      </c>
      <c r="N108" s="37" t="b">
        <f t="shared" si="10"/>
        <v>1</v>
      </c>
      <c r="O108" s="37" t="b">
        <f t="shared" si="11"/>
        <v>0</v>
      </c>
      <c r="R108" s="7">
        <v>17.100000000000001</v>
      </c>
      <c r="T108" s="7" t="s">
        <v>60</v>
      </c>
      <c r="U108" s="7">
        <v>30.4</v>
      </c>
      <c r="W108" s="7" t="s">
        <v>60</v>
      </c>
    </row>
    <row r="109" spans="1:23" x14ac:dyDescent="0.25">
      <c r="A109" s="14" t="s">
        <v>207</v>
      </c>
      <c r="B109" s="8" t="s">
        <v>11</v>
      </c>
      <c r="C109" s="7"/>
      <c r="D109" s="7"/>
      <c r="E109" s="8" t="s">
        <v>11</v>
      </c>
      <c r="F109" s="7"/>
      <c r="J109" s="37" t="str">
        <f t="shared" si="6"/>
        <v/>
      </c>
      <c r="K109" s="37" t="b">
        <f t="shared" si="7"/>
        <v>1</v>
      </c>
      <c r="L109" s="37" t="b">
        <f t="shared" si="8"/>
        <v>1</v>
      </c>
      <c r="M109" s="37" t="str">
        <f t="shared" si="9"/>
        <v/>
      </c>
      <c r="N109" s="37" t="b">
        <f t="shared" si="10"/>
        <v>1</v>
      </c>
      <c r="O109" s="37" t="b">
        <f t="shared" si="11"/>
        <v>1</v>
      </c>
      <c r="R109" s="7" t="s">
        <v>11</v>
      </c>
      <c r="U109" s="7" t="s">
        <v>11</v>
      </c>
    </row>
    <row r="110" spans="1:23" x14ac:dyDescent="0.25">
      <c r="A110" s="14" t="s">
        <v>143</v>
      </c>
      <c r="B110" s="8" t="s">
        <v>11</v>
      </c>
      <c r="C110" s="7"/>
      <c r="D110" s="7"/>
      <c r="E110" s="31">
        <v>7.1</v>
      </c>
      <c r="F110" s="7" t="s">
        <v>6</v>
      </c>
      <c r="G110" s="8" t="s">
        <v>279</v>
      </c>
      <c r="J110" s="37" t="str">
        <f t="shared" si="6"/>
        <v/>
      </c>
      <c r="K110" s="37" t="b">
        <f t="shared" si="7"/>
        <v>1</v>
      </c>
      <c r="L110" s="37" t="b">
        <f t="shared" si="8"/>
        <v>1</v>
      </c>
      <c r="M110" s="37">
        <f t="shared" si="9"/>
        <v>0</v>
      </c>
      <c r="N110" s="37" t="b">
        <f t="shared" si="10"/>
        <v>1</v>
      </c>
      <c r="O110" s="37" t="b">
        <f t="shared" si="11"/>
        <v>1</v>
      </c>
      <c r="R110" s="7" t="s">
        <v>11</v>
      </c>
      <c r="U110" s="7">
        <v>7.1</v>
      </c>
      <c r="V110" s="7" t="s">
        <v>6</v>
      </c>
      <c r="W110" s="7" t="s">
        <v>279</v>
      </c>
    </row>
    <row r="111" spans="1:23" x14ac:dyDescent="0.25">
      <c r="A111" s="14" t="s">
        <v>106</v>
      </c>
      <c r="B111" s="31">
        <v>25.9</v>
      </c>
      <c r="C111" s="7"/>
      <c r="D111" s="8" t="s">
        <v>315</v>
      </c>
      <c r="E111" s="31">
        <v>30.8</v>
      </c>
      <c r="F111" s="7"/>
      <c r="G111" s="8" t="s">
        <v>315</v>
      </c>
      <c r="J111" s="37">
        <f t="shared" si="6"/>
        <v>-1.1000000000000014</v>
      </c>
      <c r="K111" s="37" t="b">
        <f t="shared" si="7"/>
        <v>1</v>
      </c>
      <c r="L111" s="37" t="b">
        <f t="shared" si="8"/>
        <v>0</v>
      </c>
      <c r="M111" s="37">
        <f t="shared" si="9"/>
        <v>0.5</v>
      </c>
      <c r="N111" s="37" t="b">
        <f t="shared" si="10"/>
        <v>1</v>
      </c>
      <c r="O111" s="37" t="b">
        <f t="shared" si="11"/>
        <v>0</v>
      </c>
      <c r="R111" s="7">
        <v>27</v>
      </c>
      <c r="T111" s="7" t="s">
        <v>107</v>
      </c>
      <c r="U111" s="7">
        <v>30.3</v>
      </c>
      <c r="W111" s="7" t="s">
        <v>107</v>
      </c>
    </row>
    <row r="112" spans="1:23" x14ac:dyDescent="0.25">
      <c r="A112" s="14" t="s">
        <v>109</v>
      </c>
      <c r="B112" s="31">
        <v>38.799999999999997</v>
      </c>
      <c r="C112" s="7"/>
      <c r="D112" s="8" t="s">
        <v>79</v>
      </c>
      <c r="E112" s="31">
        <v>45.3</v>
      </c>
      <c r="F112" s="7"/>
      <c r="G112" s="8" t="s">
        <v>79</v>
      </c>
      <c r="J112" s="37">
        <f t="shared" si="6"/>
        <v>0</v>
      </c>
      <c r="K112" s="37" t="b">
        <f t="shared" si="7"/>
        <v>1</v>
      </c>
      <c r="L112" s="37" t="b">
        <f t="shared" si="8"/>
        <v>1</v>
      </c>
      <c r="M112" s="37">
        <f t="shared" si="9"/>
        <v>0</v>
      </c>
      <c r="N112" s="37" t="b">
        <f t="shared" si="10"/>
        <v>1</v>
      </c>
      <c r="O112" s="37" t="b">
        <f t="shared" si="11"/>
        <v>1</v>
      </c>
      <c r="R112" s="7">
        <v>38.799999999999997</v>
      </c>
      <c r="T112" s="7" t="s">
        <v>79</v>
      </c>
      <c r="U112" s="7">
        <v>45.3</v>
      </c>
      <c r="W112" s="7" t="s">
        <v>79</v>
      </c>
    </row>
    <row r="113" spans="1:23" x14ac:dyDescent="0.25">
      <c r="A113" s="15" t="s">
        <v>213</v>
      </c>
      <c r="B113" s="8" t="s">
        <v>11</v>
      </c>
      <c r="C113" s="7"/>
      <c r="D113" s="7"/>
      <c r="E113" s="8" t="s">
        <v>11</v>
      </c>
      <c r="F113" s="7"/>
      <c r="J113" s="37" t="str">
        <f t="shared" si="6"/>
        <v/>
      </c>
      <c r="K113" s="37" t="b">
        <f t="shared" si="7"/>
        <v>1</v>
      </c>
      <c r="L113" s="37" t="b">
        <f t="shared" si="8"/>
        <v>1</v>
      </c>
      <c r="M113" s="37" t="str">
        <f t="shared" si="9"/>
        <v/>
      </c>
      <c r="N113" s="37" t="b">
        <f t="shared" si="10"/>
        <v>1</v>
      </c>
      <c r="O113" s="37" t="b">
        <f t="shared" si="11"/>
        <v>1</v>
      </c>
      <c r="R113" s="7" t="s">
        <v>11</v>
      </c>
      <c r="U113" s="7" t="s">
        <v>11</v>
      </c>
    </row>
    <row r="114" spans="1:23" x14ac:dyDescent="0.25">
      <c r="A114" s="15" t="s">
        <v>215</v>
      </c>
      <c r="B114" s="8" t="s">
        <v>11</v>
      </c>
      <c r="C114" s="7"/>
      <c r="D114" s="7"/>
      <c r="E114" s="8" t="s">
        <v>11</v>
      </c>
      <c r="F114" s="7"/>
      <c r="J114" s="37" t="str">
        <f t="shared" si="6"/>
        <v/>
      </c>
      <c r="K114" s="37" t="b">
        <f t="shared" si="7"/>
        <v>1</v>
      </c>
      <c r="L114" s="37" t="b">
        <f t="shared" si="8"/>
        <v>1</v>
      </c>
      <c r="M114" s="37" t="str">
        <f t="shared" si="9"/>
        <v/>
      </c>
      <c r="N114" s="37" t="b">
        <f t="shared" si="10"/>
        <v>1</v>
      </c>
      <c r="O114" s="37" t="b">
        <f t="shared" si="11"/>
        <v>1</v>
      </c>
      <c r="R114" s="7" t="s">
        <v>11</v>
      </c>
      <c r="U114" s="7" t="s">
        <v>11</v>
      </c>
    </row>
    <row r="115" spans="1:23" x14ac:dyDescent="0.25">
      <c r="A115" s="15" t="s">
        <v>216</v>
      </c>
      <c r="B115" s="8" t="s">
        <v>11</v>
      </c>
      <c r="C115" s="7"/>
      <c r="D115" s="7"/>
      <c r="E115" s="8" t="s">
        <v>11</v>
      </c>
      <c r="F115" s="7"/>
      <c r="J115" s="37" t="str">
        <f t="shared" si="6"/>
        <v/>
      </c>
      <c r="K115" s="37" t="b">
        <f t="shared" si="7"/>
        <v>1</v>
      </c>
      <c r="L115" s="37" t="b">
        <f t="shared" si="8"/>
        <v>1</v>
      </c>
      <c r="M115" s="37" t="str">
        <f t="shared" si="9"/>
        <v/>
      </c>
      <c r="N115" s="37" t="b">
        <f t="shared" si="10"/>
        <v>1</v>
      </c>
      <c r="O115" s="37" t="b">
        <f t="shared" si="11"/>
        <v>1</v>
      </c>
      <c r="R115" s="7" t="s">
        <v>11</v>
      </c>
      <c r="U115" s="7" t="s">
        <v>11</v>
      </c>
    </row>
    <row r="116" spans="1:23" x14ac:dyDescent="0.25">
      <c r="A116" s="15" t="s">
        <v>217</v>
      </c>
      <c r="B116" s="8" t="s">
        <v>11</v>
      </c>
      <c r="C116" s="7"/>
      <c r="D116" s="7"/>
      <c r="E116" s="8" t="s">
        <v>11</v>
      </c>
      <c r="F116" s="7"/>
      <c r="J116" s="37" t="str">
        <f t="shared" si="6"/>
        <v/>
      </c>
      <c r="K116" s="37" t="b">
        <f t="shared" si="7"/>
        <v>1</v>
      </c>
      <c r="L116" s="37" t="b">
        <f t="shared" si="8"/>
        <v>1</v>
      </c>
      <c r="M116" s="37" t="str">
        <f t="shared" si="9"/>
        <v/>
      </c>
      <c r="N116" s="37" t="b">
        <f t="shared" si="10"/>
        <v>1</v>
      </c>
      <c r="O116" s="37" t="b">
        <f t="shared" si="11"/>
        <v>1</v>
      </c>
      <c r="R116" s="7" t="s">
        <v>11</v>
      </c>
      <c r="U116" s="7" t="s">
        <v>11</v>
      </c>
    </row>
    <row r="117" spans="1:23" x14ac:dyDescent="0.25">
      <c r="A117" s="15" t="s">
        <v>110</v>
      </c>
      <c r="B117" s="32">
        <v>37.4</v>
      </c>
      <c r="C117" s="7"/>
      <c r="D117" s="8" t="s">
        <v>292</v>
      </c>
      <c r="E117" s="31">
        <v>44.8</v>
      </c>
      <c r="F117" s="7"/>
      <c r="G117" s="8" t="s">
        <v>292</v>
      </c>
      <c r="J117" s="37">
        <f t="shared" si="6"/>
        <v>7.2999999999999972</v>
      </c>
      <c r="K117" s="37" t="b">
        <f t="shared" si="7"/>
        <v>1</v>
      </c>
      <c r="L117" s="37" t="b">
        <f t="shared" si="8"/>
        <v>0</v>
      </c>
      <c r="M117" s="37">
        <f t="shared" si="9"/>
        <v>-2.6000000000003354E-2</v>
      </c>
      <c r="N117" s="37" t="b">
        <f t="shared" si="10"/>
        <v>1</v>
      </c>
      <c r="O117" s="37" t="b">
        <f t="shared" si="11"/>
        <v>1</v>
      </c>
      <c r="R117" s="7">
        <v>30.1</v>
      </c>
      <c r="T117" s="7" t="s">
        <v>107</v>
      </c>
      <c r="U117" s="7">
        <v>44.826000000000001</v>
      </c>
      <c r="W117" s="7" t="s">
        <v>292</v>
      </c>
    </row>
    <row r="118" spans="1:23" x14ac:dyDescent="0.25">
      <c r="A118" s="15" t="s">
        <v>112</v>
      </c>
      <c r="B118" s="31">
        <v>19.3</v>
      </c>
      <c r="C118" s="7"/>
      <c r="D118" s="8" t="s">
        <v>211</v>
      </c>
      <c r="E118" s="31">
        <v>23.9</v>
      </c>
      <c r="F118" s="7"/>
      <c r="G118" s="8" t="s">
        <v>211</v>
      </c>
      <c r="J118" s="37">
        <f t="shared" si="6"/>
        <v>2.5000000000002132E-2</v>
      </c>
      <c r="K118" s="37" t="b">
        <f t="shared" si="7"/>
        <v>1</v>
      </c>
      <c r="L118" s="37" t="b">
        <f t="shared" si="8"/>
        <v>1</v>
      </c>
      <c r="M118" s="37">
        <f t="shared" si="9"/>
        <v>4.9999999999997158E-2</v>
      </c>
      <c r="N118" s="37" t="b">
        <f t="shared" si="10"/>
        <v>1</v>
      </c>
      <c r="O118" s="37" t="b">
        <f t="shared" si="11"/>
        <v>1</v>
      </c>
      <c r="R118" s="7">
        <v>19.274999999999999</v>
      </c>
      <c r="T118" s="7" t="s">
        <v>211</v>
      </c>
      <c r="U118" s="7">
        <v>23.85</v>
      </c>
      <c r="W118" s="7" t="s">
        <v>211</v>
      </c>
    </row>
    <row r="119" spans="1:23" x14ac:dyDescent="0.25">
      <c r="A119" s="15" t="s">
        <v>219</v>
      </c>
      <c r="B119" s="8" t="s">
        <v>11</v>
      </c>
      <c r="C119" s="7"/>
      <c r="D119" s="7"/>
      <c r="E119" s="8" t="s">
        <v>11</v>
      </c>
      <c r="F119" s="7"/>
      <c r="J119" s="37" t="str">
        <f t="shared" si="6"/>
        <v/>
      </c>
      <c r="K119" s="37" t="b">
        <f t="shared" si="7"/>
        <v>1</v>
      </c>
      <c r="L119" s="37" t="b">
        <f t="shared" si="8"/>
        <v>1</v>
      </c>
      <c r="M119" s="37" t="str">
        <f t="shared" si="9"/>
        <v/>
      </c>
      <c r="N119" s="37" t="b">
        <f t="shared" si="10"/>
        <v>1</v>
      </c>
      <c r="O119" s="37" t="b">
        <f t="shared" si="11"/>
        <v>1</v>
      </c>
      <c r="R119" s="7" t="s">
        <v>11</v>
      </c>
      <c r="U119" s="7" t="s">
        <v>11</v>
      </c>
    </row>
    <row r="120" spans="1:23" x14ac:dyDescent="0.25">
      <c r="A120" s="15" t="s">
        <v>114</v>
      </c>
      <c r="B120" s="31">
        <v>32.799999999999997</v>
      </c>
      <c r="C120" s="7" t="s">
        <v>6</v>
      </c>
      <c r="D120" s="8" t="s">
        <v>36</v>
      </c>
      <c r="E120" s="31">
        <v>34.6</v>
      </c>
      <c r="F120" s="7" t="s">
        <v>6</v>
      </c>
      <c r="G120" s="8" t="s">
        <v>36</v>
      </c>
      <c r="J120" s="37">
        <f t="shared" si="6"/>
        <v>0</v>
      </c>
      <c r="K120" s="37" t="b">
        <f t="shared" si="7"/>
        <v>1</v>
      </c>
      <c r="L120" s="37" t="b">
        <f t="shared" si="8"/>
        <v>1</v>
      </c>
      <c r="M120" s="37">
        <f t="shared" si="9"/>
        <v>0</v>
      </c>
      <c r="N120" s="37" t="b">
        <f t="shared" si="10"/>
        <v>1</v>
      </c>
      <c r="O120" s="37" t="b">
        <f t="shared" si="11"/>
        <v>1</v>
      </c>
      <c r="R120" s="7">
        <v>32.799999999999997</v>
      </c>
      <c r="S120" s="7" t="s">
        <v>6</v>
      </c>
      <c r="T120" s="7" t="s">
        <v>36</v>
      </c>
      <c r="U120" s="7">
        <v>34.6</v>
      </c>
      <c r="V120" s="7" t="s">
        <v>6</v>
      </c>
      <c r="W120" s="7" t="s">
        <v>36</v>
      </c>
    </row>
    <row r="121" spans="1:23" x14ac:dyDescent="0.25">
      <c r="A121" s="15" t="s">
        <v>115</v>
      </c>
      <c r="B121" s="31">
        <v>50</v>
      </c>
      <c r="C121" s="7"/>
      <c r="D121" s="8" t="s">
        <v>43</v>
      </c>
      <c r="E121" s="31">
        <v>74.400000000000006</v>
      </c>
      <c r="F121" s="7"/>
      <c r="G121" s="8" t="s">
        <v>43</v>
      </c>
      <c r="J121" s="37">
        <f t="shared" si="6"/>
        <v>0</v>
      </c>
      <c r="K121" s="37" t="b">
        <f t="shared" si="7"/>
        <v>1</v>
      </c>
      <c r="L121" s="37" t="b">
        <f t="shared" si="8"/>
        <v>1</v>
      </c>
      <c r="M121" s="37">
        <f t="shared" si="9"/>
        <v>0</v>
      </c>
      <c r="N121" s="37" t="b">
        <f t="shared" si="10"/>
        <v>1</v>
      </c>
      <c r="O121" s="37" t="b">
        <f t="shared" si="11"/>
        <v>1</v>
      </c>
      <c r="R121" s="7">
        <v>50</v>
      </c>
      <c r="T121" s="7" t="s">
        <v>43</v>
      </c>
      <c r="U121" s="7">
        <v>74.400000000000006</v>
      </c>
      <c r="W121" s="7" t="s">
        <v>43</v>
      </c>
    </row>
    <row r="122" spans="1:23" x14ac:dyDescent="0.25">
      <c r="A122" s="15" t="s">
        <v>221</v>
      </c>
      <c r="B122" s="8" t="s">
        <v>11</v>
      </c>
      <c r="C122" s="7"/>
      <c r="D122" s="7"/>
      <c r="E122" s="8" t="s">
        <v>11</v>
      </c>
      <c r="F122" s="7"/>
      <c r="J122" s="37" t="str">
        <f t="shared" si="6"/>
        <v/>
      </c>
      <c r="K122" s="37" t="b">
        <f t="shared" si="7"/>
        <v>1</v>
      </c>
      <c r="L122" s="37" t="b">
        <f t="shared" si="8"/>
        <v>1</v>
      </c>
      <c r="M122" s="37" t="str">
        <f t="shared" si="9"/>
        <v/>
      </c>
      <c r="N122" s="37" t="b">
        <f t="shared" si="10"/>
        <v>1</v>
      </c>
      <c r="O122" s="37" t="b">
        <f t="shared" si="11"/>
        <v>1</v>
      </c>
      <c r="R122" s="7" t="s">
        <v>11</v>
      </c>
      <c r="U122" s="7" t="s">
        <v>11</v>
      </c>
    </row>
    <row r="123" spans="1:23" x14ac:dyDescent="0.25">
      <c r="A123" s="15" t="s">
        <v>117</v>
      </c>
      <c r="B123" s="31">
        <v>71.400000000000006</v>
      </c>
      <c r="C123" s="7" t="s">
        <v>28</v>
      </c>
      <c r="D123" s="8" t="s">
        <v>118</v>
      </c>
      <c r="E123" s="31">
        <v>47.4</v>
      </c>
      <c r="F123" s="7" t="s">
        <v>28</v>
      </c>
      <c r="G123" s="8" t="s">
        <v>118</v>
      </c>
      <c r="J123" s="37">
        <f t="shared" si="6"/>
        <v>0</v>
      </c>
      <c r="K123" s="37" t="b">
        <f t="shared" si="7"/>
        <v>1</v>
      </c>
      <c r="L123" s="37" t="b">
        <f t="shared" si="8"/>
        <v>1</v>
      </c>
      <c r="M123" s="37">
        <f t="shared" si="9"/>
        <v>0</v>
      </c>
      <c r="N123" s="37" t="b">
        <f t="shared" si="10"/>
        <v>1</v>
      </c>
      <c r="O123" s="37" t="b">
        <f t="shared" si="11"/>
        <v>1</v>
      </c>
      <c r="R123" s="7">
        <v>71.400000000000006</v>
      </c>
      <c r="S123" s="7" t="s">
        <v>28</v>
      </c>
      <c r="T123" s="7" t="s">
        <v>118</v>
      </c>
      <c r="U123" s="7">
        <v>47.4</v>
      </c>
      <c r="V123" s="7" t="s">
        <v>28</v>
      </c>
      <c r="W123" s="7" t="s">
        <v>118</v>
      </c>
    </row>
    <row r="124" spans="1:23" x14ac:dyDescent="0.25">
      <c r="A124" s="14" t="s">
        <v>120</v>
      </c>
      <c r="B124" s="32">
        <v>12.7</v>
      </c>
      <c r="C124" s="7"/>
      <c r="D124" s="8" t="s">
        <v>293</v>
      </c>
      <c r="E124" s="31">
        <v>28.3</v>
      </c>
      <c r="F124" s="7"/>
      <c r="G124" s="8" t="s">
        <v>293</v>
      </c>
      <c r="J124" s="37">
        <f t="shared" si="6"/>
        <v>-4.9000000000000021</v>
      </c>
      <c r="K124" s="37" t="b">
        <f t="shared" si="7"/>
        <v>1</v>
      </c>
      <c r="L124" s="37" t="b">
        <f t="shared" si="8"/>
        <v>0</v>
      </c>
      <c r="M124" s="37">
        <f t="shared" si="9"/>
        <v>-3.0999999999998806E-2</v>
      </c>
      <c r="N124" s="37" t="b">
        <f t="shared" si="10"/>
        <v>1</v>
      </c>
      <c r="O124" s="37" t="b">
        <f t="shared" si="11"/>
        <v>1</v>
      </c>
      <c r="R124" s="7">
        <v>17.600000000000001</v>
      </c>
      <c r="T124" s="7" t="s">
        <v>23</v>
      </c>
      <c r="U124" s="7">
        <v>28.331</v>
      </c>
      <c r="W124" s="7" t="s">
        <v>293</v>
      </c>
    </row>
    <row r="125" spans="1:23" x14ac:dyDescent="0.25">
      <c r="A125" s="15" t="s">
        <v>222</v>
      </c>
      <c r="B125" s="8" t="s">
        <v>11</v>
      </c>
      <c r="C125" s="7"/>
      <c r="D125" s="7"/>
      <c r="E125" s="8" t="s">
        <v>11</v>
      </c>
      <c r="F125" s="7"/>
      <c r="J125" s="37" t="str">
        <f t="shared" si="6"/>
        <v/>
      </c>
      <c r="K125" s="37" t="b">
        <f t="shared" si="7"/>
        <v>1</v>
      </c>
      <c r="L125" s="37" t="b">
        <f t="shared" si="8"/>
        <v>1</v>
      </c>
      <c r="M125" s="37" t="str">
        <f t="shared" si="9"/>
        <v/>
      </c>
      <c r="N125" s="37" t="b">
        <f t="shared" si="10"/>
        <v>1</v>
      </c>
      <c r="O125" s="37" t="b">
        <f t="shared" si="11"/>
        <v>1</v>
      </c>
      <c r="R125" s="7" t="s">
        <v>11</v>
      </c>
      <c r="U125" s="7" t="s">
        <v>11</v>
      </c>
    </row>
    <row r="126" spans="1:23" x14ac:dyDescent="0.25">
      <c r="A126" s="15" t="s">
        <v>158</v>
      </c>
      <c r="B126" s="8" t="s">
        <v>11</v>
      </c>
      <c r="C126" s="7"/>
      <c r="D126" s="7"/>
      <c r="E126" s="31">
        <v>5.8</v>
      </c>
      <c r="F126" s="7"/>
      <c r="G126" s="8" t="s">
        <v>23</v>
      </c>
      <c r="J126" s="37" t="str">
        <f t="shared" si="6"/>
        <v/>
      </c>
      <c r="K126" s="37" t="b">
        <f t="shared" si="7"/>
        <v>1</v>
      </c>
      <c r="L126" s="37" t="b">
        <f t="shared" si="8"/>
        <v>1</v>
      </c>
      <c r="M126" s="37">
        <f t="shared" si="9"/>
        <v>0</v>
      </c>
      <c r="N126" s="37" t="b">
        <f t="shared" si="10"/>
        <v>1</v>
      </c>
      <c r="O126" s="37" t="b">
        <f t="shared" si="11"/>
        <v>1</v>
      </c>
      <c r="R126" s="7" t="s">
        <v>11</v>
      </c>
      <c r="U126" s="7">
        <v>5.8</v>
      </c>
      <c r="W126" s="7" t="s">
        <v>23</v>
      </c>
    </row>
    <row r="127" spans="1:23" x14ac:dyDescent="0.25">
      <c r="A127" s="15" t="s">
        <v>224</v>
      </c>
      <c r="B127" s="8" t="s">
        <v>11</v>
      </c>
      <c r="C127" s="7"/>
      <c r="D127" s="7"/>
      <c r="E127" s="8" t="s">
        <v>11</v>
      </c>
      <c r="F127" s="7"/>
      <c r="J127" s="37" t="str">
        <f t="shared" si="6"/>
        <v/>
      </c>
      <c r="K127" s="37" t="b">
        <f t="shared" si="7"/>
        <v>1</v>
      </c>
      <c r="L127" s="37" t="b">
        <f t="shared" si="8"/>
        <v>1</v>
      </c>
      <c r="M127" s="37" t="str">
        <f t="shared" si="9"/>
        <v/>
      </c>
      <c r="N127" s="37" t="b">
        <f t="shared" si="10"/>
        <v>1</v>
      </c>
      <c r="O127" s="37" t="b">
        <f t="shared" si="11"/>
        <v>1</v>
      </c>
      <c r="R127" s="7" t="s">
        <v>11</v>
      </c>
      <c r="U127" s="7" t="s">
        <v>11</v>
      </c>
    </row>
    <row r="128" spans="1:23" x14ac:dyDescent="0.25">
      <c r="A128" s="15" t="s">
        <v>226</v>
      </c>
      <c r="B128" s="8" t="s">
        <v>11</v>
      </c>
      <c r="C128" s="7"/>
      <c r="D128" s="7"/>
      <c r="E128" s="8" t="s">
        <v>11</v>
      </c>
      <c r="F128" s="7"/>
      <c r="J128" s="37" t="str">
        <f t="shared" si="6"/>
        <v/>
      </c>
      <c r="K128" s="37" t="b">
        <f t="shared" si="7"/>
        <v>1</v>
      </c>
      <c r="L128" s="37" t="b">
        <f t="shared" si="8"/>
        <v>1</v>
      </c>
      <c r="M128" s="37" t="str">
        <f t="shared" si="9"/>
        <v/>
      </c>
      <c r="N128" s="37" t="b">
        <f t="shared" si="10"/>
        <v>1</v>
      </c>
      <c r="O128" s="37" t="b">
        <f t="shared" si="11"/>
        <v>1</v>
      </c>
      <c r="R128" s="7" t="s">
        <v>11</v>
      </c>
      <c r="U128" s="7" t="s">
        <v>11</v>
      </c>
    </row>
    <row r="129" spans="1:23" x14ac:dyDescent="0.25">
      <c r="A129" s="14" t="s">
        <v>121</v>
      </c>
      <c r="B129" s="31">
        <v>2</v>
      </c>
      <c r="C129" s="7"/>
      <c r="D129" s="8" t="s">
        <v>314</v>
      </c>
      <c r="E129" s="31">
        <v>1.3</v>
      </c>
      <c r="F129" s="7"/>
      <c r="G129" s="8" t="s">
        <v>314</v>
      </c>
      <c r="J129" s="37">
        <f t="shared" si="6"/>
        <v>-1.4</v>
      </c>
      <c r="K129" s="37" t="b">
        <f t="shared" si="7"/>
        <v>1</v>
      </c>
      <c r="L129" s="37" t="b">
        <f t="shared" si="8"/>
        <v>0</v>
      </c>
      <c r="M129" s="37">
        <f t="shared" si="9"/>
        <v>-7.0000000000000009</v>
      </c>
      <c r="N129" s="37" t="b">
        <f t="shared" si="10"/>
        <v>1</v>
      </c>
      <c r="O129" s="37" t="b">
        <f t="shared" si="11"/>
        <v>0</v>
      </c>
      <c r="R129" s="7">
        <v>3.4</v>
      </c>
      <c r="T129" s="7" t="s">
        <v>107</v>
      </c>
      <c r="U129" s="7">
        <v>8.3000000000000007</v>
      </c>
      <c r="W129" s="7" t="s">
        <v>107</v>
      </c>
    </row>
    <row r="130" spans="1:23" x14ac:dyDescent="0.25">
      <c r="A130" s="14" t="s">
        <v>122</v>
      </c>
      <c r="B130" s="31">
        <v>14</v>
      </c>
      <c r="C130" s="7"/>
      <c r="D130" s="8" t="s">
        <v>107</v>
      </c>
      <c r="E130" s="31">
        <v>2.2000000000000002</v>
      </c>
      <c r="F130" s="7"/>
      <c r="G130" s="8" t="s">
        <v>107</v>
      </c>
      <c r="J130" s="37">
        <f t="shared" si="6"/>
        <v>0</v>
      </c>
      <c r="K130" s="37" t="b">
        <f t="shared" si="7"/>
        <v>1</v>
      </c>
      <c r="L130" s="37" t="b">
        <f t="shared" si="8"/>
        <v>1</v>
      </c>
      <c r="M130" s="37">
        <f t="shared" si="9"/>
        <v>0</v>
      </c>
      <c r="N130" s="37" t="b">
        <f t="shared" si="10"/>
        <v>1</v>
      </c>
      <c r="O130" s="37" t="b">
        <f t="shared" si="11"/>
        <v>1</v>
      </c>
      <c r="R130" s="7">
        <v>14</v>
      </c>
      <c r="T130" s="7" t="s">
        <v>107</v>
      </c>
      <c r="U130" s="7">
        <v>2.2000000000000002</v>
      </c>
      <c r="W130" s="7" t="s">
        <v>107</v>
      </c>
    </row>
    <row r="131" spans="1:23" x14ac:dyDescent="0.25">
      <c r="A131" s="14" t="s">
        <v>229</v>
      </c>
      <c r="B131" s="8" t="s">
        <v>11</v>
      </c>
      <c r="C131" s="7"/>
      <c r="D131" s="7"/>
      <c r="E131" s="8" t="s">
        <v>11</v>
      </c>
      <c r="F131" s="7"/>
      <c r="J131" s="37" t="str">
        <f t="shared" si="6"/>
        <v/>
      </c>
      <c r="K131" s="37" t="b">
        <f t="shared" si="7"/>
        <v>1</v>
      </c>
      <c r="L131" s="37" t="b">
        <f t="shared" si="8"/>
        <v>1</v>
      </c>
      <c r="M131" s="37" t="str">
        <f t="shared" si="9"/>
        <v/>
      </c>
      <c r="N131" s="37" t="b">
        <f t="shared" si="10"/>
        <v>1</v>
      </c>
      <c r="O131" s="37" t="b">
        <f t="shared" si="11"/>
        <v>1</v>
      </c>
      <c r="R131" s="7" t="s">
        <v>11</v>
      </c>
      <c r="U131" s="7" t="s">
        <v>11</v>
      </c>
    </row>
    <row r="132" spans="1:23" x14ac:dyDescent="0.25">
      <c r="A132" s="14" t="s">
        <v>163</v>
      </c>
      <c r="B132" s="8" t="s">
        <v>11</v>
      </c>
      <c r="C132" s="7"/>
      <c r="D132" s="7"/>
      <c r="E132" s="31">
        <v>63.9</v>
      </c>
      <c r="F132" s="7" t="s">
        <v>28</v>
      </c>
      <c r="G132" s="8" t="s">
        <v>164</v>
      </c>
      <c r="J132" s="37" t="str">
        <f t="shared" si="6"/>
        <v/>
      </c>
      <c r="K132" s="37" t="b">
        <f t="shared" si="7"/>
        <v>1</v>
      </c>
      <c r="L132" s="37" t="b">
        <f t="shared" si="8"/>
        <v>1</v>
      </c>
      <c r="M132" s="37">
        <f t="shared" si="9"/>
        <v>0</v>
      </c>
      <c r="N132" s="37" t="b">
        <f t="shared" si="10"/>
        <v>1</v>
      </c>
      <c r="O132" s="37" t="b">
        <f t="shared" si="11"/>
        <v>1</v>
      </c>
      <c r="R132" s="7" t="s">
        <v>11</v>
      </c>
      <c r="U132" s="7">
        <v>63.9</v>
      </c>
      <c r="V132" s="7" t="s">
        <v>28</v>
      </c>
      <c r="W132" s="7" t="s">
        <v>164</v>
      </c>
    </row>
    <row r="133" spans="1:23" x14ac:dyDescent="0.25">
      <c r="A133" s="15" t="s">
        <v>125</v>
      </c>
      <c r="B133" s="31">
        <v>21</v>
      </c>
      <c r="C133" s="7" t="s">
        <v>6</v>
      </c>
      <c r="D133" s="8" t="s">
        <v>316</v>
      </c>
      <c r="E133" s="31">
        <v>16.8</v>
      </c>
      <c r="F133" s="7" t="s">
        <v>6</v>
      </c>
      <c r="G133" s="8" t="s">
        <v>316</v>
      </c>
      <c r="J133" s="37">
        <f t="shared" si="6"/>
        <v>0.39999999999999858</v>
      </c>
      <c r="K133" s="37" t="b">
        <f t="shared" si="7"/>
        <v>0</v>
      </c>
      <c r="L133" s="37" t="b">
        <f t="shared" si="8"/>
        <v>0</v>
      </c>
      <c r="M133" s="37">
        <f t="shared" si="9"/>
        <v>3.2000000000000011</v>
      </c>
      <c r="N133" s="37" t="b">
        <f t="shared" si="10"/>
        <v>0</v>
      </c>
      <c r="O133" s="37" t="b">
        <f t="shared" si="11"/>
        <v>0</v>
      </c>
      <c r="R133" s="7">
        <v>20.6</v>
      </c>
      <c r="T133" s="7" t="s">
        <v>126</v>
      </c>
      <c r="U133" s="7">
        <v>13.6</v>
      </c>
      <c r="W133" s="7" t="s">
        <v>126</v>
      </c>
    </row>
    <row r="134" spans="1:23" x14ac:dyDescent="0.25">
      <c r="A134" s="15" t="s">
        <v>130</v>
      </c>
      <c r="B134" s="31">
        <v>57.1</v>
      </c>
      <c r="C134" s="7"/>
      <c r="D134" s="8" t="s">
        <v>14</v>
      </c>
      <c r="E134" s="31">
        <v>52.6</v>
      </c>
      <c r="F134" s="7"/>
      <c r="G134" s="8" t="s">
        <v>14</v>
      </c>
      <c r="J134" s="37">
        <f t="shared" si="6"/>
        <v>0</v>
      </c>
      <c r="K134" s="37" t="b">
        <f t="shared" si="7"/>
        <v>1</v>
      </c>
      <c r="L134" s="37" t="b">
        <f t="shared" si="8"/>
        <v>1</v>
      </c>
      <c r="M134" s="37">
        <f t="shared" si="9"/>
        <v>0</v>
      </c>
      <c r="N134" s="37" t="b">
        <f t="shared" si="10"/>
        <v>1</v>
      </c>
      <c r="O134" s="37" t="b">
        <f t="shared" si="11"/>
        <v>1</v>
      </c>
      <c r="R134" s="7">
        <v>57.1</v>
      </c>
      <c r="T134" s="7" t="s">
        <v>14</v>
      </c>
      <c r="U134" s="7">
        <v>52.6</v>
      </c>
      <c r="W134" s="7" t="s">
        <v>14</v>
      </c>
    </row>
    <row r="135" spans="1:23" x14ac:dyDescent="0.25">
      <c r="A135" s="15" t="s">
        <v>132</v>
      </c>
      <c r="B135" s="31">
        <v>29.5</v>
      </c>
      <c r="C135" s="7" t="s">
        <v>28</v>
      </c>
      <c r="D135" s="8" t="s">
        <v>133</v>
      </c>
      <c r="E135" s="31">
        <v>28.3</v>
      </c>
      <c r="F135" s="7" t="s">
        <v>28</v>
      </c>
      <c r="G135" s="8" t="s">
        <v>133</v>
      </c>
      <c r="J135" s="37">
        <f t="shared" si="6"/>
        <v>0</v>
      </c>
      <c r="K135" s="37" t="b">
        <f t="shared" si="7"/>
        <v>1</v>
      </c>
      <c r="L135" s="37" t="b">
        <f t="shared" si="8"/>
        <v>1</v>
      </c>
      <c r="M135" s="37">
        <f t="shared" si="9"/>
        <v>0</v>
      </c>
      <c r="N135" s="37" t="b">
        <f t="shared" si="10"/>
        <v>1</v>
      </c>
      <c r="O135" s="37" t="b">
        <f t="shared" si="11"/>
        <v>1</v>
      </c>
      <c r="R135" s="7">
        <v>29.5</v>
      </c>
      <c r="S135" s="7" t="s">
        <v>28</v>
      </c>
      <c r="T135" s="7" t="s">
        <v>133</v>
      </c>
      <c r="U135" s="7">
        <v>28.3</v>
      </c>
      <c r="V135" s="7" t="s">
        <v>28</v>
      </c>
      <c r="W135" s="7" t="s">
        <v>133</v>
      </c>
    </row>
    <row r="136" spans="1:23" x14ac:dyDescent="0.25">
      <c r="A136" s="15" t="s">
        <v>230</v>
      </c>
      <c r="B136" s="8" t="s">
        <v>11</v>
      </c>
      <c r="C136" s="7"/>
      <c r="D136" s="7"/>
      <c r="E136" s="8" t="s">
        <v>11</v>
      </c>
      <c r="F136" s="7"/>
      <c r="J136" s="37" t="str">
        <f t="shared" si="6"/>
        <v/>
      </c>
      <c r="K136" s="37" t="b">
        <f t="shared" si="7"/>
        <v>1</v>
      </c>
      <c r="L136" s="37" t="b">
        <f t="shared" si="8"/>
        <v>1</v>
      </c>
      <c r="M136" s="37" t="str">
        <f t="shared" si="9"/>
        <v/>
      </c>
      <c r="N136" s="37" t="b">
        <f t="shared" si="10"/>
        <v>1</v>
      </c>
      <c r="O136" s="37" t="b">
        <f t="shared" si="11"/>
        <v>1</v>
      </c>
      <c r="R136" s="7" t="s">
        <v>11</v>
      </c>
      <c r="U136" s="7" t="s">
        <v>11</v>
      </c>
    </row>
    <row r="137" spans="1:23" x14ac:dyDescent="0.25">
      <c r="A137" s="15" t="s">
        <v>135</v>
      </c>
      <c r="B137" s="31">
        <v>24.2</v>
      </c>
      <c r="C137" s="7"/>
      <c r="D137" s="8" t="s">
        <v>305</v>
      </c>
      <c r="E137" s="31">
        <v>20.8</v>
      </c>
      <c r="F137" s="7"/>
      <c r="G137" s="8" t="s">
        <v>305</v>
      </c>
      <c r="J137" s="37">
        <f t="shared" si="6"/>
        <v>-0.69999999999999929</v>
      </c>
      <c r="K137" s="37" t="b">
        <f t="shared" si="7"/>
        <v>1</v>
      </c>
      <c r="L137" s="37" t="b">
        <f t="shared" si="8"/>
        <v>0</v>
      </c>
      <c r="M137" s="37">
        <f t="shared" si="9"/>
        <v>-1.0999999999999979</v>
      </c>
      <c r="N137" s="37" t="b">
        <f t="shared" si="10"/>
        <v>1</v>
      </c>
      <c r="O137" s="37" t="b">
        <f t="shared" si="11"/>
        <v>0</v>
      </c>
      <c r="R137" s="7">
        <v>24.9</v>
      </c>
      <c r="T137" s="7" t="s">
        <v>18</v>
      </c>
      <c r="U137" s="7">
        <v>21.9</v>
      </c>
      <c r="W137" s="7" t="s">
        <v>18</v>
      </c>
    </row>
    <row r="138" spans="1:23" x14ac:dyDescent="0.25">
      <c r="A138" s="15" t="s">
        <v>286</v>
      </c>
      <c r="B138" s="8" t="s">
        <v>11</v>
      </c>
      <c r="C138" s="7"/>
      <c r="D138" s="7"/>
      <c r="E138" s="8" t="s">
        <v>11</v>
      </c>
      <c r="F138" s="7"/>
      <c r="J138" s="37" t="str">
        <f t="shared" si="6"/>
        <v/>
      </c>
      <c r="K138" s="37" t="b">
        <f t="shared" si="7"/>
        <v>1</v>
      </c>
      <c r="L138" s="37" t="b">
        <f t="shared" si="8"/>
        <v>1</v>
      </c>
      <c r="M138" s="37" t="str">
        <f t="shared" si="9"/>
        <v/>
      </c>
      <c r="N138" s="37" t="b">
        <f t="shared" si="10"/>
        <v>1</v>
      </c>
      <c r="O138" s="37" t="b">
        <f t="shared" si="11"/>
        <v>1</v>
      </c>
      <c r="R138" s="7" t="s">
        <v>11</v>
      </c>
      <c r="U138" s="7" t="s">
        <v>11</v>
      </c>
    </row>
    <row r="139" spans="1:23" x14ac:dyDescent="0.25">
      <c r="A139" s="15" t="s">
        <v>231</v>
      </c>
      <c r="B139" s="8" t="s">
        <v>11</v>
      </c>
      <c r="C139" s="7"/>
      <c r="D139" s="7"/>
      <c r="E139" s="8" t="s">
        <v>11</v>
      </c>
      <c r="F139" s="7"/>
      <c r="J139" s="37" t="str">
        <f t="shared" si="6"/>
        <v/>
      </c>
      <c r="K139" s="37" t="b">
        <f t="shared" si="7"/>
        <v>1</v>
      </c>
      <c r="L139" s="37" t="b">
        <f t="shared" si="8"/>
        <v>1</v>
      </c>
      <c r="M139" s="37" t="str">
        <f t="shared" si="9"/>
        <v/>
      </c>
      <c r="N139" s="37" t="b">
        <f t="shared" si="10"/>
        <v>1</v>
      </c>
      <c r="O139" s="37" t="b">
        <f t="shared" si="11"/>
        <v>1</v>
      </c>
      <c r="R139" s="7" t="s">
        <v>11</v>
      </c>
      <c r="U139" s="7" t="s">
        <v>11</v>
      </c>
    </row>
    <row r="140" spans="1:23" x14ac:dyDescent="0.25">
      <c r="A140" s="15" t="s">
        <v>172</v>
      </c>
      <c r="B140" s="8" t="s">
        <v>11</v>
      </c>
      <c r="C140" s="7"/>
      <c r="D140" s="7"/>
      <c r="E140" s="31">
        <v>8.1</v>
      </c>
      <c r="F140" s="7" t="s">
        <v>209</v>
      </c>
      <c r="G140" s="8" t="s">
        <v>94</v>
      </c>
      <c r="J140" s="37" t="str">
        <f t="shared" ref="J140:J203" si="12">IF(ISNUMBER(B140),B140-R140,"")</f>
        <v/>
      </c>
      <c r="K140" s="37" t="b">
        <f t="shared" ref="K140:K203" si="13">C140=S140</f>
        <v>1</v>
      </c>
      <c r="L140" s="37" t="b">
        <f t="shared" ref="L140:L203" si="14">D140=T140</f>
        <v>1</v>
      </c>
      <c r="M140" s="37">
        <f t="shared" ref="M140:M203" si="15">IF(ISNUMBER(E140),E140-U140,"")</f>
        <v>0</v>
      </c>
      <c r="N140" s="37" t="b">
        <f t="shared" ref="N140:N203" si="16">F140=V140</f>
        <v>1</v>
      </c>
      <c r="O140" s="37" t="b">
        <f t="shared" ref="O140:O203" si="17">G140=W140</f>
        <v>1</v>
      </c>
      <c r="R140" s="7" t="s">
        <v>11</v>
      </c>
      <c r="U140" s="7">
        <v>8.1</v>
      </c>
      <c r="V140" s="7" t="s">
        <v>209</v>
      </c>
      <c r="W140" s="7" t="s">
        <v>94</v>
      </c>
    </row>
    <row r="141" spans="1:23" x14ac:dyDescent="0.25">
      <c r="A141" s="14" t="s">
        <v>137</v>
      </c>
      <c r="B141" s="31">
        <v>28.4</v>
      </c>
      <c r="C141" s="7" t="s">
        <v>6</v>
      </c>
      <c r="D141" s="8" t="s">
        <v>294</v>
      </c>
      <c r="E141" s="31">
        <v>30.1</v>
      </c>
      <c r="F141" s="7" t="s">
        <v>6</v>
      </c>
      <c r="G141" s="8" t="s">
        <v>294</v>
      </c>
      <c r="J141" s="37">
        <f t="shared" si="12"/>
        <v>0</v>
      </c>
      <c r="K141" s="37" t="b">
        <f t="shared" si="13"/>
        <v>1</v>
      </c>
      <c r="L141" s="37" t="b">
        <f t="shared" si="14"/>
        <v>1</v>
      </c>
      <c r="M141" s="37">
        <f t="shared" si="15"/>
        <v>0</v>
      </c>
      <c r="N141" s="37" t="b">
        <f t="shared" si="16"/>
        <v>1</v>
      </c>
      <c r="O141" s="37" t="b">
        <f t="shared" si="17"/>
        <v>1</v>
      </c>
      <c r="R141" s="7">
        <v>28.4</v>
      </c>
      <c r="S141" s="7" t="s">
        <v>6</v>
      </c>
      <c r="T141" s="7" t="s">
        <v>294</v>
      </c>
      <c r="U141" s="7">
        <v>30.1</v>
      </c>
      <c r="V141" s="7" t="s">
        <v>6</v>
      </c>
      <c r="W141" s="7" t="s">
        <v>294</v>
      </c>
    </row>
    <row r="142" spans="1:23" x14ac:dyDescent="0.25">
      <c r="A142" s="14" t="s">
        <v>138</v>
      </c>
      <c r="B142" s="31">
        <v>27.4</v>
      </c>
      <c r="C142" s="7" t="s">
        <v>6</v>
      </c>
      <c r="D142" s="8" t="s">
        <v>290</v>
      </c>
      <c r="E142" s="31">
        <v>29.3</v>
      </c>
      <c r="F142" s="7" t="s">
        <v>6</v>
      </c>
      <c r="G142" s="8" t="s">
        <v>290</v>
      </c>
      <c r="J142" s="37">
        <f t="shared" si="12"/>
        <v>2.699999999999747E-2</v>
      </c>
      <c r="K142" s="37" t="b">
        <f t="shared" si="13"/>
        <v>1</v>
      </c>
      <c r="L142" s="37" t="b">
        <f t="shared" si="14"/>
        <v>1</v>
      </c>
      <c r="M142" s="37">
        <f t="shared" si="15"/>
        <v>2.8000000000002245E-2</v>
      </c>
      <c r="N142" s="37" t="b">
        <f t="shared" si="16"/>
        <v>1</v>
      </c>
      <c r="O142" s="37" t="b">
        <f t="shared" si="17"/>
        <v>1</v>
      </c>
      <c r="R142" s="7">
        <v>27.373000000000001</v>
      </c>
      <c r="S142" s="7" t="s">
        <v>6</v>
      </c>
      <c r="T142" s="7" t="s">
        <v>290</v>
      </c>
      <c r="U142" s="7">
        <v>29.271999999999998</v>
      </c>
      <c r="V142" s="7" t="s">
        <v>6</v>
      </c>
      <c r="W142" s="7" t="s">
        <v>290</v>
      </c>
    </row>
    <row r="143" spans="1:23" x14ac:dyDescent="0.25">
      <c r="A143" s="15" t="s">
        <v>232</v>
      </c>
      <c r="B143" s="8" t="s">
        <v>11</v>
      </c>
      <c r="C143" s="7"/>
      <c r="D143" s="7"/>
      <c r="E143" s="8" t="s">
        <v>11</v>
      </c>
      <c r="F143" s="7"/>
      <c r="J143" s="37" t="str">
        <f t="shared" si="12"/>
        <v/>
      </c>
      <c r="K143" s="37" t="b">
        <f t="shared" si="13"/>
        <v>1</v>
      </c>
      <c r="L143" s="37" t="b">
        <f t="shared" si="14"/>
        <v>1</v>
      </c>
      <c r="M143" s="37" t="str">
        <f t="shared" si="15"/>
        <v/>
      </c>
      <c r="N143" s="37" t="b">
        <f t="shared" si="16"/>
        <v>1</v>
      </c>
      <c r="O143" s="37" t="b">
        <f t="shared" si="17"/>
        <v>1</v>
      </c>
      <c r="R143" s="7" t="s">
        <v>11</v>
      </c>
      <c r="U143" s="7" t="s">
        <v>11</v>
      </c>
    </row>
    <row r="144" spans="1:23" x14ac:dyDescent="0.25">
      <c r="A144" s="15" t="s">
        <v>177</v>
      </c>
      <c r="B144" s="8" t="s">
        <v>11</v>
      </c>
      <c r="C144" s="7"/>
      <c r="D144" s="7"/>
      <c r="E144" s="31">
        <v>11.3</v>
      </c>
      <c r="F144" s="7"/>
      <c r="G144" s="8" t="s">
        <v>12</v>
      </c>
      <c r="J144" s="37" t="str">
        <f t="shared" si="12"/>
        <v/>
      </c>
      <c r="K144" s="37" t="b">
        <f t="shared" si="13"/>
        <v>1</v>
      </c>
      <c r="L144" s="37" t="b">
        <f t="shared" si="14"/>
        <v>1</v>
      </c>
      <c r="M144" s="37">
        <f t="shared" si="15"/>
        <v>2.6000000000001577E-2</v>
      </c>
      <c r="N144" s="37" t="b">
        <f t="shared" si="16"/>
        <v>1</v>
      </c>
      <c r="O144" s="37" t="b">
        <f t="shared" si="17"/>
        <v>1</v>
      </c>
      <c r="R144" s="7" t="s">
        <v>11</v>
      </c>
      <c r="U144" s="7">
        <v>11.273999999999999</v>
      </c>
      <c r="W144" s="7" t="s">
        <v>12</v>
      </c>
    </row>
    <row r="145" spans="1:23" x14ac:dyDescent="0.25">
      <c r="A145" s="15" t="s">
        <v>233</v>
      </c>
      <c r="B145" s="8" t="s">
        <v>11</v>
      </c>
      <c r="C145" s="7"/>
      <c r="D145" s="7"/>
      <c r="E145" s="8" t="s">
        <v>11</v>
      </c>
      <c r="F145" s="7"/>
      <c r="J145" s="37" t="str">
        <f t="shared" si="12"/>
        <v/>
      </c>
      <c r="K145" s="37" t="b">
        <f t="shared" si="13"/>
        <v>1</v>
      </c>
      <c r="L145" s="37" t="b">
        <f t="shared" si="14"/>
        <v>1</v>
      </c>
      <c r="M145" s="37" t="str">
        <f t="shared" si="15"/>
        <v/>
      </c>
      <c r="N145" s="37" t="b">
        <f t="shared" si="16"/>
        <v>1</v>
      </c>
      <c r="O145" s="37" t="b">
        <f t="shared" si="17"/>
        <v>1</v>
      </c>
      <c r="R145" s="7" t="s">
        <v>11</v>
      </c>
      <c r="U145" s="7" t="s">
        <v>11</v>
      </c>
    </row>
    <row r="146" spans="1:23" x14ac:dyDescent="0.25">
      <c r="A146" s="15" t="s">
        <v>179</v>
      </c>
      <c r="B146" s="8" t="s">
        <v>11</v>
      </c>
      <c r="C146" s="7"/>
      <c r="D146" s="7"/>
      <c r="E146" s="31">
        <v>9.6</v>
      </c>
      <c r="F146" s="7" t="s">
        <v>28</v>
      </c>
      <c r="G146" s="8" t="s">
        <v>69</v>
      </c>
      <c r="J146" s="37" t="str">
        <f t="shared" si="12"/>
        <v/>
      </c>
      <c r="K146" s="37" t="b">
        <f t="shared" si="13"/>
        <v>1</v>
      </c>
      <c r="L146" s="37" t="b">
        <f t="shared" si="14"/>
        <v>1</v>
      </c>
      <c r="M146" s="37">
        <f t="shared" si="15"/>
        <v>0</v>
      </c>
      <c r="N146" s="37" t="b">
        <f t="shared" si="16"/>
        <v>1</v>
      </c>
      <c r="O146" s="37" t="b">
        <f t="shared" si="17"/>
        <v>1</v>
      </c>
      <c r="R146" s="7" t="s">
        <v>11</v>
      </c>
      <c r="U146" s="7">
        <v>9.6</v>
      </c>
      <c r="V146" s="7" t="s">
        <v>28</v>
      </c>
      <c r="W146" s="7" t="s">
        <v>69</v>
      </c>
    </row>
    <row r="147" spans="1:23" x14ac:dyDescent="0.25">
      <c r="A147" s="15" t="s">
        <v>140</v>
      </c>
      <c r="B147" s="31">
        <v>58.1</v>
      </c>
      <c r="C147" s="7" t="s">
        <v>234</v>
      </c>
      <c r="D147" s="8" t="s">
        <v>9</v>
      </c>
      <c r="E147" s="31">
        <v>50.7</v>
      </c>
      <c r="F147" s="7" t="s">
        <v>6</v>
      </c>
      <c r="G147" s="8" t="s">
        <v>9</v>
      </c>
      <c r="J147" s="37">
        <f t="shared" si="12"/>
        <v>0</v>
      </c>
      <c r="K147" s="37" t="b">
        <f t="shared" si="13"/>
        <v>1</v>
      </c>
      <c r="L147" s="37" t="b">
        <f t="shared" si="14"/>
        <v>1</v>
      </c>
      <c r="M147" s="37">
        <f t="shared" si="15"/>
        <v>0</v>
      </c>
      <c r="N147" s="37" t="b">
        <f t="shared" si="16"/>
        <v>1</v>
      </c>
      <c r="O147" s="37" t="b">
        <f t="shared" si="17"/>
        <v>1</v>
      </c>
      <c r="R147" s="7">
        <v>58.1</v>
      </c>
      <c r="S147" s="7" t="s">
        <v>234</v>
      </c>
      <c r="T147" s="7" t="s">
        <v>9</v>
      </c>
      <c r="U147" s="7">
        <v>50.7</v>
      </c>
      <c r="V147" s="7" t="s">
        <v>6</v>
      </c>
      <c r="W147" s="7" t="s">
        <v>9</v>
      </c>
    </row>
    <row r="148" spans="1:23" x14ac:dyDescent="0.25">
      <c r="A148" s="15" t="s">
        <v>235</v>
      </c>
      <c r="B148" s="8" t="s">
        <v>11</v>
      </c>
      <c r="C148" s="7"/>
      <c r="D148" s="7"/>
      <c r="E148" s="8" t="s">
        <v>11</v>
      </c>
      <c r="F148" s="7"/>
      <c r="J148" s="37" t="str">
        <f t="shared" si="12"/>
        <v/>
      </c>
      <c r="K148" s="37" t="b">
        <f t="shared" si="13"/>
        <v>1</v>
      </c>
      <c r="L148" s="37" t="b">
        <f t="shared" si="14"/>
        <v>1</v>
      </c>
      <c r="M148" s="37" t="str">
        <f t="shared" si="15"/>
        <v/>
      </c>
      <c r="N148" s="37" t="b">
        <f t="shared" si="16"/>
        <v>1</v>
      </c>
      <c r="O148" s="37" t="b">
        <f t="shared" si="17"/>
        <v>1</v>
      </c>
      <c r="R148" s="7" t="s">
        <v>11</v>
      </c>
      <c r="U148" s="7" t="s">
        <v>11</v>
      </c>
    </row>
    <row r="149" spans="1:23" x14ac:dyDescent="0.25">
      <c r="A149" s="15" t="s">
        <v>183</v>
      </c>
      <c r="B149" s="31">
        <v>22.6</v>
      </c>
      <c r="C149" s="7" t="s">
        <v>6</v>
      </c>
      <c r="D149" s="8" t="s">
        <v>280</v>
      </c>
      <c r="E149" s="31">
        <v>22.5</v>
      </c>
      <c r="F149" s="7" t="s">
        <v>6</v>
      </c>
      <c r="G149" s="8" t="s">
        <v>280</v>
      </c>
      <c r="J149" s="37">
        <f t="shared" si="12"/>
        <v>0</v>
      </c>
      <c r="K149" s="37" t="b">
        <f t="shared" si="13"/>
        <v>1</v>
      </c>
      <c r="L149" s="37" t="b">
        <f t="shared" si="14"/>
        <v>1</v>
      </c>
      <c r="M149" s="37">
        <f t="shared" si="15"/>
        <v>0</v>
      </c>
      <c r="N149" s="37" t="b">
        <f t="shared" si="16"/>
        <v>1</v>
      </c>
      <c r="O149" s="37" t="b">
        <f t="shared" si="17"/>
        <v>1</v>
      </c>
      <c r="R149" s="7">
        <v>22.6</v>
      </c>
      <c r="S149" s="7" t="s">
        <v>6</v>
      </c>
      <c r="T149" s="7" t="s">
        <v>280</v>
      </c>
      <c r="U149" s="7">
        <v>22.5</v>
      </c>
      <c r="V149" s="7" t="s">
        <v>6</v>
      </c>
      <c r="W149" s="7" t="s">
        <v>280</v>
      </c>
    </row>
    <row r="150" spans="1:23" x14ac:dyDescent="0.25">
      <c r="A150" s="15" t="s">
        <v>141</v>
      </c>
      <c r="B150" s="31">
        <v>72.099999999999994</v>
      </c>
      <c r="C150" s="7"/>
      <c r="D150" s="8" t="s">
        <v>142</v>
      </c>
      <c r="E150" s="31">
        <v>68.8</v>
      </c>
      <c r="F150" s="7"/>
      <c r="G150" s="8" t="s">
        <v>142</v>
      </c>
      <c r="J150" s="37">
        <f t="shared" si="12"/>
        <v>0</v>
      </c>
      <c r="K150" s="37" t="b">
        <f t="shared" si="13"/>
        <v>1</v>
      </c>
      <c r="L150" s="37" t="b">
        <f t="shared" si="14"/>
        <v>1</v>
      </c>
      <c r="M150" s="37">
        <f t="shared" si="15"/>
        <v>0</v>
      </c>
      <c r="N150" s="37" t="b">
        <f t="shared" si="16"/>
        <v>1</v>
      </c>
      <c r="O150" s="37" t="b">
        <f t="shared" si="17"/>
        <v>1</v>
      </c>
      <c r="R150" s="7">
        <v>72.099999999999994</v>
      </c>
      <c r="T150" s="7" t="s">
        <v>142</v>
      </c>
      <c r="U150" s="7">
        <v>68.8</v>
      </c>
      <c r="W150" s="7" t="s">
        <v>142</v>
      </c>
    </row>
    <row r="151" spans="1:23" x14ac:dyDescent="0.25">
      <c r="A151" s="15" t="s">
        <v>186</v>
      </c>
      <c r="B151" s="8" t="s">
        <v>11</v>
      </c>
      <c r="C151" s="7"/>
      <c r="D151" s="7"/>
      <c r="E151" s="31">
        <v>7.3</v>
      </c>
      <c r="F151" s="7"/>
      <c r="G151" s="8" t="s">
        <v>57</v>
      </c>
      <c r="J151" s="37" t="str">
        <f t="shared" si="12"/>
        <v/>
      </c>
      <c r="K151" s="37" t="b">
        <f t="shared" si="13"/>
        <v>1</v>
      </c>
      <c r="L151" s="37" t="b">
        <f t="shared" si="14"/>
        <v>1</v>
      </c>
      <c r="M151" s="37">
        <f t="shared" si="15"/>
        <v>0</v>
      </c>
      <c r="N151" s="37" t="b">
        <f t="shared" si="16"/>
        <v>1</v>
      </c>
      <c r="O151" s="37" t="b">
        <f t="shared" si="17"/>
        <v>1</v>
      </c>
      <c r="R151" s="7" t="s">
        <v>11</v>
      </c>
      <c r="U151" s="7">
        <v>7.3</v>
      </c>
      <c r="W151" s="7" t="s">
        <v>57</v>
      </c>
    </row>
    <row r="152" spans="1:23" x14ac:dyDescent="0.25">
      <c r="A152" s="15" t="s">
        <v>236</v>
      </c>
      <c r="B152" s="8" t="s">
        <v>11</v>
      </c>
      <c r="C152" s="7"/>
      <c r="D152" s="7"/>
      <c r="E152" s="8" t="s">
        <v>11</v>
      </c>
      <c r="F152" s="7"/>
      <c r="J152" s="37" t="str">
        <f t="shared" si="12"/>
        <v/>
      </c>
      <c r="K152" s="37" t="b">
        <f t="shared" si="13"/>
        <v>1</v>
      </c>
      <c r="L152" s="37" t="b">
        <f t="shared" si="14"/>
        <v>1</v>
      </c>
      <c r="M152" s="37" t="str">
        <f t="shared" si="15"/>
        <v/>
      </c>
      <c r="N152" s="37" t="b">
        <f t="shared" si="16"/>
        <v>1</v>
      </c>
      <c r="O152" s="37" t="b">
        <f t="shared" si="17"/>
        <v>1</v>
      </c>
      <c r="R152" s="7" t="s">
        <v>11</v>
      </c>
      <c r="U152" s="7" t="s">
        <v>11</v>
      </c>
    </row>
    <row r="153" spans="1:23" x14ac:dyDescent="0.25">
      <c r="A153" s="15" t="s">
        <v>188</v>
      </c>
      <c r="B153" s="8" t="s">
        <v>11</v>
      </c>
      <c r="C153" s="7"/>
      <c r="D153" s="7"/>
      <c r="E153" s="31">
        <v>10.7</v>
      </c>
      <c r="F153" s="7"/>
      <c r="G153" s="8" t="s">
        <v>305</v>
      </c>
      <c r="J153" s="37" t="str">
        <f t="shared" si="12"/>
        <v/>
      </c>
      <c r="K153" s="37" t="b">
        <f t="shared" si="13"/>
        <v>1</v>
      </c>
      <c r="L153" s="37" t="b">
        <f t="shared" si="14"/>
        <v>1</v>
      </c>
      <c r="M153" s="37">
        <f t="shared" si="15"/>
        <v>-1.7000000000000011</v>
      </c>
      <c r="N153" s="37" t="b">
        <f t="shared" si="16"/>
        <v>1</v>
      </c>
      <c r="O153" s="37" t="b">
        <f t="shared" si="17"/>
        <v>0</v>
      </c>
      <c r="R153" s="7" t="s">
        <v>11</v>
      </c>
      <c r="U153" s="7">
        <v>12.4</v>
      </c>
      <c r="W153" s="7" t="s">
        <v>98</v>
      </c>
    </row>
    <row r="154" spans="1:23" x14ac:dyDescent="0.25">
      <c r="A154" s="15" t="s">
        <v>237</v>
      </c>
      <c r="B154" s="8" t="s">
        <v>11</v>
      </c>
      <c r="C154" s="7"/>
      <c r="D154" s="7"/>
      <c r="E154" s="8" t="s">
        <v>11</v>
      </c>
      <c r="F154" s="7"/>
      <c r="J154" s="37" t="str">
        <f t="shared" si="12"/>
        <v/>
      </c>
      <c r="K154" s="37" t="b">
        <f t="shared" si="13"/>
        <v>1</v>
      </c>
      <c r="L154" s="37" t="b">
        <f t="shared" si="14"/>
        <v>1</v>
      </c>
      <c r="M154" s="37" t="str">
        <f t="shared" si="15"/>
        <v/>
      </c>
      <c r="N154" s="37" t="b">
        <f t="shared" si="16"/>
        <v>1</v>
      </c>
      <c r="O154" s="37" t="b">
        <f t="shared" si="17"/>
        <v>1</v>
      </c>
      <c r="R154" s="7" t="s">
        <v>11</v>
      </c>
      <c r="U154" s="7" t="s">
        <v>11</v>
      </c>
    </row>
    <row r="155" spans="1:23" x14ac:dyDescent="0.25">
      <c r="A155" s="15" t="s">
        <v>238</v>
      </c>
      <c r="B155" s="8" t="s">
        <v>11</v>
      </c>
      <c r="C155" s="7"/>
      <c r="D155" s="7"/>
      <c r="E155" s="8" t="s">
        <v>11</v>
      </c>
      <c r="F155" s="7"/>
      <c r="J155" s="37" t="str">
        <f t="shared" si="12"/>
        <v/>
      </c>
      <c r="K155" s="37" t="b">
        <f t="shared" si="13"/>
        <v>1</v>
      </c>
      <c r="L155" s="37" t="b">
        <f t="shared" si="14"/>
        <v>1</v>
      </c>
      <c r="M155" s="37" t="str">
        <f t="shared" si="15"/>
        <v/>
      </c>
      <c r="N155" s="37" t="b">
        <f t="shared" si="16"/>
        <v>1</v>
      </c>
      <c r="O155" s="37" t="b">
        <f t="shared" si="17"/>
        <v>1</v>
      </c>
      <c r="R155" s="7" t="s">
        <v>11</v>
      </c>
      <c r="U155" s="7" t="s">
        <v>11</v>
      </c>
    </row>
    <row r="156" spans="1:23" x14ac:dyDescent="0.25">
      <c r="A156" s="15" t="s">
        <v>144</v>
      </c>
      <c r="B156" s="31">
        <v>22.1</v>
      </c>
      <c r="C156" s="7" t="s">
        <v>28</v>
      </c>
      <c r="D156" s="8" t="s">
        <v>33</v>
      </c>
      <c r="E156" s="31">
        <v>5</v>
      </c>
      <c r="F156" s="7" t="s">
        <v>28</v>
      </c>
      <c r="G156" s="8" t="s">
        <v>33</v>
      </c>
      <c r="J156" s="37">
        <f t="shared" si="12"/>
        <v>0</v>
      </c>
      <c r="K156" s="37" t="b">
        <f t="shared" si="13"/>
        <v>1</v>
      </c>
      <c r="L156" s="37" t="b">
        <f t="shared" si="14"/>
        <v>1</v>
      </c>
      <c r="M156" s="37">
        <f t="shared" si="15"/>
        <v>3.0000000000001137E-3</v>
      </c>
      <c r="N156" s="37" t="b">
        <f t="shared" si="16"/>
        <v>1</v>
      </c>
      <c r="O156" s="37" t="b">
        <f t="shared" si="17"/>
        <v>1</v>
      </c>
      <c r="R156" s="7">
        <v>22.1</v>
      </c>
      <c r="S156" s="7" t="s">
        <v>28</v>
      </c>
      <c r="T156" s="7" t="s">
        <v>33</v>
      </c>
      <c r="U156" s="7">
        <v>4.9969999999999999</v>
      </c>
      <c r="V156" s="7" t="s">
        <v>28</v>
      </c>
      <c r="W156" s="7" t="s">
        <v>33</v>
      </c>
    </row>
    <row r="157" spans="1:23" x14ac:dyDescent="0.25">
      <c r="A157" s="15" t="s">
        <v>239</v>
      </c>
      <c r="B157" s="8" t="s">
        <v>11</v>
      </c>
      <c r="C157" s="7"/>
      <c r="D157" s="7"/>
      <c r="E157" s="8" t="s">
        <v>11</v>
      </c>
      <c r="F157" s="7"/>
      <c r="J157" s="37" t="str">
        <f t="shared" si="12"/>
        <v/>
      </c>
      <c r="K157" s="37" t="b">
        <f t="shared" si="13"/>
        <v>1</v>
      </c>
      <c r="L157" s="37" t="b">
        <f t="shared" si="14"/>
        <v>1</v>
      </c>
      <c r="M157" s="37" t="str">
        <f t="shared" si="15"/>
        <v/>
      </c>
      <c r="N157" s="37" t="b">
        <f t="shared" si="16"/>
        <v>1</v>
      </c>
      <c r="O157" s="37" t="b">
        <f t="shared" si="17"/>
        <v>1</v>
      </c>
      <c r="R157" s="7" t="s">
        <v>11</v>
      </c>
      <c r="U157" s="7" t="s">
        <v>11</v>
      </c>
    </row>
    <row r="158" spans="1:23" x14ac:dyDescent="0.25">
      <c r="A158" s="14" t="s">
        <v>146</v>
      </c>
      <c r="B158" s="31">
        <v>14.2</v>
      </c>
      <c r="C158" s="7" t="s">
        <v>28</v>
      </c>
      <c r="D158" s="8" t="s">
        <v>33</v>
      </c>
      <c r="E158" s="31">
        <v>12.6</v>
      </c>
      <c r="F158" s="7" t="s">
        <v>28</v>
      </c>
      <c r="G158" s="8" t="s">
        <v>33</v>
      </c>
      <c r="J158" s="37">
        <f t="shared" si="12"/>
        <v>0</v>
      </c>
      <c r="K158" s="37" t="b">
        <f t="shared" si="13"/>
        <v>1</v>
      </c>
      <c r="L158" s="37" t="b">
        <f t="shared" si="14"/>
        <v>1</v>
      </c>
      <c r="M158" s="37">
        <f t="shared" si="15"/>
        <v>0</v>
      </c>
      <c r="N158" s="37" t="b">
        <f t="shared" si="16"/>
        <v>1</v>
      </c>
      <c r="O158" s="37" t="b">
        <f t="shared" si="17"/>
        <v>1</v>
      </c>
      <c r="R158" s="7">
        <v>14.2</v>
      </c>
      <c r="S158" s="7" t="s">
        <v>28</v>
      </c>
      <c r="T158" s="7" t="s">
        <v>33</v>
      </c>
      <c r="U158" s="7">
        <v>12.6</v>
      </c>
      <c r="V158" s="7" t="s">
        <v>28</v>
      </c>
      <c r="W158" s="7" t="s">
        <v>33</v>
      </c>
    </row>
    <row r="159" spans="1:23" x14ac:dyDescent="0.25">
      <c r="A159" s="15" t="s">
        <v>240</v>
      </c>
      <c r="B159" s="8" t="s">
        <v>11</v>
      </c>
      <c r="C159" s="7"/>
      <c r="D159" s="7"/>
      <c r="E159" s="8" t="s">
        <v>11</v>
      </c>
      <c r="F159" s="7"/>
      <c r="J159" s="37" t="str">
        <f t="shared" si="12"/>
        <v/>
      </c>
      <c r="K159" s="37" t="b">
        <f t="shared" si="13"/>
        <v>1</v>
      </c>
      <c r="L159" s="37" t="b">
        <f t="shared" si="14"/>
        <v>1</v>
      </c>
      <c r="M159" s="37" t="str">
        <f t="shared" si="15"/>
        <v/>
      </c>
      <c r="N159" s="37" t="b">
        <f t="shared" si="16"/>
        <v>1</v>
      </c>
      <c r="O159" s="37" t="b">
        <f t="shared" si="17"/>
        <v>1</v>
      </c>
      <c r="R159" s="7" t="s">
        <v>11</v>
      </c>
      <c r="U159" s="7" t="s">
        <v>11</v>
      </c>
    </row>
    <row r="160" spans="1:23" x14ac:dyDescent="0.25">
      <c r="A160" s="15" t="s">
        <v>241</v>
      </c>
      <c r="B160" s="8" t="s">
        <v>11</v>
      </c>
      <c r="C160" s="7"/>
      <c r="D160" s="7"/>
      <c r="E160" s="8" t="s">
        <v>11</v>
      </c>
      <c r="F160" s="7"/>
      <c r="J160" s="37" t="str">
        <f t="shared" si="12"/>
        <v/>
      </c>
      <c r="K160" s="37" t="b">
        <f t="shared" si="13"/>
        <v>1</v>
      </c>
      <c r="L160" s="37" t="b">
        <f t="shared" si="14"/>
        <v>1</v>
      </c>
      <c r="M160" s="37" t="str">
        <f t="shared" si="15"/>
        <v/>
      </c>
      <c r="N160" s="37" t="b">
        <f t="shared" si="16"/>
        <v>1</v>
      </c>
      <c r="O160" s="37" t="b">
        <f t="shared" si="17"/>
        <v>1</v>
      </c>
      <c r="R160" s="7" t="s">
        <v>11</v>
      </c>
      <c r="U160" s="7" t="s">
        <v>11</v>
      </c>
    </row>
    <row r="161" spans="1:23" x14ac:dyDescent="0.25">
      <c r="A161" s="15" t="s">
        <v>147</v>
      </c>
      <c r="B161" s="31">
        <v>23.8</v>
      </c>
      <c r="C161" s="7"/>
      <c r="D161" s="8" t="s">
        <v>79</v>
      </c>
      <c r="E161" s="31">
        <v>52.9</v>
      </c>
      <c r="F161" s="7"/>
      <c r="G161" s="8" t="s">
        <v>79</v>
      </c>
      <c r="J161" s="37">
        <f t="shared" si="12"/>
        <v>-2.9999999999997584E-2</v>
      </c>
      <c r="K161" s="37" t="b">
        <f t="shared" si="13"/>
        <v>1</v>
      </c>
      <c r="L161" s="37" t="b">
        <f t="shared" si="14"/>
        <v>1</v>
      </c>
      <c r="M161" s="37">
        <f t="shared" si="15"/>
        <v>3.6000000000001364E-2</v>
      </c>
      <c r="N161" s="37" t="b">
        <f t="shared" si="16"/>
        <v>1</v>
      </c>
      <c r="O161" s="37" t="b">
        <f t="shared" si="17"/>
        <v>1</v>
      </c>
      <c r="R161" s="7">
        <v>23.83</v>
      </c>
      <c r="T161" s="7" t="s">
        <v>79</v>
      </c>
      <c r="U161" s="7">
        <v>52.863999999999997</v>
      </c>
      <c r="W161" s="7" t="s">
        <v>79</v>
      </c>
    </row>
    <row r="162" spans="1:23" x14ac:dyDescent="0.25">
      <c r="A162" s="15" t="s">
        <v>242</v>
      </c>
      <c r="B162" s="8" t="s">
        <v>11</v>
      </c>
      <c r="C162" s="7"/>
      <c r="D162" s="7"/>
      <c r="E162" s="8" t="s">
        <v>11</v>
      </c>
      <c r="F162" s="7"/>
      <c r="J162" s="37" t="str">
        <f t="shared" si="12"/>
        <v/>
      </c>
      <c r="K162" s="37" t="b">
        <f t="shared" si="13"/>
        <v>1</v>
      </c>
      <c r="L162" s="37" t="b">
        <f t="shared" si="14"/>
        <v>1</v>
      </c>
      <c r="M162" s="37" t="str">
        <f t="shared" si="15"/>
        <v/>
      </c>
      <c r="N162" s="37" t="b">
        <f t="shared" si="16"/>
        <v>1</v>
      </c>
      <c r="O162" s="37" t="b">
        <f t="shared" si="17"/>
        <v>1</v>
      </c>
      <c r="R162" s="7" t="s">
        <v>11</v>
      </c>
      <c r="U162" s="7" t="s">
        <v>11</v>
      </c>
    </row>
    <row r="163" spans="1:23" x14ac:dyDescent="0.25">
      <c r="A163" s="14" t="s">
        <v>196</v>
      </c>
      <c r="B163" s="8" t="s">
        <v>11</v>
      </c>
      <c r="C163" s="7"/>
      <c r="D163" s="7"/>
      <c r="E163" s="31">
        <v>15</v>
      </c>
      <c r="F163" s="7" t="s">
        <v>28</v>
      </c>
      <c r="G163" s="8" t="s">
        <v>33</v>
      </c>
      <c r="J163" s="37" t="str">
        <f t="shared" si="12"/>
        <v/>
      </c>
      <c r="K163" s="37" t="b">
        <f t="shared" si="13"/>
        <v>1</v>
      </c>
      <c r="L163" s="37" t="b">
        <f t="shared" si="14"/>
        <v>1</v>
      </c>
      <c r="M163" s="37">
        <f t="shared" si="15"/>
        <v>0</v>
      </c>
      <c r="N163" s="37" t="b">
        <f t="shared" si="16"/>
        <v>1</v>
      </c>
      <c r="O163" s="37" t="b">
        <f t="shared" si="17"/>
        <v>1</v>
      </c>
      <c r="R163" s="7" t="s">
        <v>11</v>
      </c>
      <c r="U163" s="7">
        <v>15</v>
      </c>
      <c r="V163" s="7" t="s">
        <v>28</v>
      </c>
      <c r="W163" s="7" t="s">
        <v>33</v>
      </c>
    </row>
    <row r="164" spans="1:23" x14ac:dyDescent="0.25">
      <c r="A164" s="15" t="s">
        <v>243</v>
      </c>
      <c r="B164" s="8" t="s">
        <v>11</v>
      </c>
      <c r="C164" s="7"/>
      <c r="D164" s="7"/>
      <c r="E164" s="8" t="s">
        <v>11</v>
      </c>
      <c r="F164" s="7"/>
      <c r="J164" s="37" t="str">
        <f t="shared" si="12"/>
        <v/>
      </c>
      <c r="K164" s="37" t="b">
        <f t="shared" si="13"/>
        <v>1</v>
      </c>
      <c r="L164" s="37" t="b">
        <f t="shared" si="14"/>
        <v>1</v>
      </c>
      <c r="M164" s="37" t="str">
        <f t="shared" si="15"/>
        <v/>
      </c>
      <c r="N164" s="37" t="b">
        <f t="shared" si="16"/>
        <v>1</v>
      </c>
      <c r="O164" s="37" t="b">
        <f t="shared" si="17"/>
        <v>1</v>
      </c>
      <c r="R164" s="7" t="s">
        <v>11</v>
      </c>
      <c r="U164" s="7" t="s">
        <v>11</v>
      </c>
    </row>
    <row r="165" spans="1:23" x14ac:dyDescent="0.25">
      <c r="A165" s="15" t="s">
        <v>148</v>
      </c>
      <c r="B165" s="31">
        <v>21.9</v>
      </c>
      <c r="C165" s="7"/>
      <c r="D165" s="8" t="s">
        <v>211</v>
      </c>
      <c r="E165" s="31">
        <v>26.1</v>
      </c>
      <c r="F165" s="7"/>
      <c r="G165" s="8" t="s">
        <v>211</v>
      </c>
      <c r="J165" s="37">
        <f t="shared" si="12"/>
        <v>-4.4000000000000483E-2</v>
      </c>
      <c r="K165" s="37" t="b">
        <f t="shared" si="13"/>
        <v>1</v>
      </c>
      <c r="L165" s="37" t="b">
        <f t="shared" si="14"/>
        <v>1</v>
      </c>
      <c r="M165" s="37">
        <f t="shared" si="15"/>
        <v>3.2000000000000028E-2</v>
      </c>
      <c r="N165" s="37" t="b">
        <f t="shared" si="16"/>
        <v>1</v>
      </c>
      <c r="O165" s="37" t="b">
        <f t="shared" si="17"/>
        <v>1</v>
      </c>
      <c r="R165" s="7">
        <v>21.943999999999999</v>
      </c>
      <c r="T165" s="7" t="s">
        <v>211</v>
      </c>
      <c r="U165" s="7">
        <v>26.068000000000001</v>
      </c>
      <c r="W165" s="7" t="s">
        <v>211</v>
      </c>
    </row>
    <row r="166" spans="1:23" x14ac:dyDescent="0.25">
      <c r="A166" s="15" t="s">
        <v>244</v>
      </c>
      <c r="B166" s="8" t="s">
        <v>11</v>
      </c>
      <c r="C166" s="7"/>
      <c r="D166" s="7"/>
      <c r="E166" s="8" t="s">
        <v>11</v>
      </c>
      <c r="F166" s="7"/>
      <c r="J166" s="37" t="str">
        <f t="shared" si="12"/>
        <v/>
      </c>
      <c r="K166" s="37" t="b">
        <f t="shared" si="13"/>
        <v>1</v>
      </c>
      <c r="L166" s="37" t="b">
        <f t="shared" si="14"/>
        <v>1</v>
      </c>
      <c r="M166" s="37" t="str">
        <f t="shared" si="15"/>
        <v/>
      </c>
      <c r="N166" s="37" t="b">
        <f t="shared" si="16"/>
        <v>1</v>
      </c>
      <c r="O166" s="37" t="b">
        <f t="shared" si="17"/>
        <v>1</v>
      </c>
      <c r="R166" s="7" t="s">
        <v>11</v>
      </c>
      <c r="U166" s="7" t="s">
        <v>11</v>
      </c>
    </row>
    <row r="167" spans="1:23" x14ac:dyDescent="0.25">
      <c r="A167" s="15" t="s">
        <v>150</v>
      </c>
      <c r="B167" s="31">
        <v>9.9</v>
      </c>
      <c r="C167" s="7"/>
      <c r="D167" s="8" t="s">
        <v>18</v>
      </c>
      <c r="E167" s="31">
        <v>17.399999999999999</v>
      </c>
      <c r="F167" s="7"/>
      <c r="G167" s="8" t="s">
        <v>18</v>
      </c>
      <c r="J167" s="37">
        <f t="shared" si="12"/>
        <v>0</v>
      </c>
      <c r="K167" s="37" t="b">
        <f t="shared" si="13"/>
        <v>1</v>
      </c>
      <c r="L167" s="37" t="b">
        <f t="shared" si="14"/>
        <v>1</v>
      </c>
      <c r="M167" s="37">
        <f t="shared" si="15"/>
        <v>0</v>
      </c>
      <c r="N167" s="37" t="b">
        <f t="shared" si="16"/>
        <v>1</v>
      </c>
      <c r="O167" s="37" t="b">
        <f t="shared" si="17"/>
        <v>1</v>
      </c>
      <c r="R167" s="7">
        <v>9.9</v>
      </c>
      <c r="T167" s="7" t="s">
        <v>18</v>
      </c>
      <c r="U167" s="7">
        <v>17.399999999999999</v>
      </c>
      <c r="W167" s="7" t="s">
        <v>18</v>
      </c>
    </row>
    <row r="168" spans="1:23" x14ac:dyDescent="0.25">
      <c r="A168" s="15" t="s">
        <v>245</v>
      </c>
      <c r="B168" s="8" t="s">
        <v>11</v>
      </c>
      <c r="C168" s="7"/>
      <c r="D168" s="7"/>
      <c r="E168" s="8" t="s">
        <v>11</v>
      </c>
      <c r="F168" s="7"/>
      <c r="J168" s="37" t="str">
        <f t="shared" si="12"/>
        <v/>
      </c>
      <c r="K168" s="37" t="b">
        <f t="shared" si="13"/>
        <v>1</v>
      </c>
      <c r="L168" s="37" t="b">
        <f t="shared" si="14"/>
        <v>1</v>
      </c>
      <c r="M168" s="37" t="str">
        <f t="shared" si="15"/>
        <v/>
      </c>
      <c r="N168" s="37" t="b">
        <f t="shared" si="16"/>
        <v>1</v>
      </c>
      <c r="O168" s="37" t="b">
        <f t="shared" si="17"/>
        <v>1</v>
      </c>
      <c r="R168" s="7" t="s">
        <v>11</v>
      </c>
      <c r="U168" s="7" t="s">
        <v>11</v>
      </c>
    </row>
    <row r="169" spans="1:23" x14ac:dyDescent="0.25">
      <c r="A169" s="15" t="s">
        <v>152</v>
      </c>
      <c r="B169" s="31">
        <v>16.3</v>
      </c>
      <c r="C169" s="7"/>
      <c r="D169" s="8" t="s">
        <v>317</v>
      </c>
      <c r="E169" s="31">
        <v>19.3</v>
      </c>
      <c r="F169" s="7"/>
      <c r="G169" s="8" t="s">
        <v>317</v>
      </c>
      <c r="J169" s="37">
        <f t="shared" si="12"/>
        <v>-24.099999999999998</v>
      </c>
      <c r="K169" s="37" t="b">
        <f t="shared" si="13"/>
        <v>1</v>
      </c>
      <c r="L169" s="37" t="b">
        <f t="shared" si="14"/>
        <v>0</v>
      </c>
      <c r="M169" s="37">
        <f t="shared" si="15"/>
        <v>-22.7</v>
      </c>
      <c r="N169" s="37" t="b">
        <f t="shared" si="16"/>
        <v>1</v>
      </c>
      <c r="O169" s="37" t="b">
        <f t="shared" si="17"/>
        <v>0</v>
      </c>
      <c r="R169" s="7">
        <v>40.4</v>
      </c>
      <c r="T169" s="7" t="s">
        <v>153</v>
      </c>
      <c r="U169" s="7">
        <v>42</v>
      </c>
      <c r="W169" s="7" t="s">
        <v>153</v>
      </c>
    </row>
    <row r="170" spans="1:23" x14ac:dyDescent="0.25">
      <c r="A170" s="14" t="s">
        <v>200</v>
      </c>
      <c r="B170" s="32">
        <v>5.6</v>
      </c>
      <c r="C170" s="7" t="s">
        <v>311</v>
      </c>
      <c r="D170" s="8" t="s">
        <v>45</v>
      </c>
      <c r="E170" s="31">
        <v>1.7</v>
      </c>
      <c r="F170" s="7"/>
      <c r="G170" s="8" t="s">
        <v>18</v>
      </c>
      <c r="J170" s="37">
        <f t="shared" si="12"/>
        <v>0</v>
      </c>
      <c r="K170" s="37" t="b">
        <f t="shared" si="13"/>
        <v>0</v>
      </c>
      <c r="L170" s="37" t="b">
        <f t="shared" si="14"/>
        <v>1</v>
      </c>
      <c r="M170" s="37">
        <f t="shared" si="15"/>
        <v>-2.0000000000000018E-2</v>
      </c>
      <c r="N170" s="37" t="b">
        <f t="shared" si="16"/>
        <v>1</v>
      </c>
      <c r="O170" s="37" t="b">
        <f t="shared" si="17"/>
        <v>1</v>
      </c>
      <c r="R170" s="7">
        <v>5.6</v>
      </c>
      <c r="S170" s="7" t="s">
        <v>209</v>
      </c>
      <c r="T170" s="7" t="s">
        <v>45</v>
      </c>
      <c r="U170" s="7">
        <v>1.72</v>
      </c>
      <c r="W170" s="7" t="s">
        <v>18</v>
      </c>
    </row>
    <row r="171" spans="1:23" x14ac:dyDescent="0.25">
      <c r="A171" s="15" t="s">
        <v>246</v>
      </c>
      <c r="B171" s="8" t="s">
        <v>11</v>
      </c>
      <c r="C171" s="7"/>
      <c r="D171" s="7"/>
      <c r="E171" s="8" t="s">
        <v>11</v>
      </c>
      <c r="F171" s="7"/>
      <c r="J171" s="37" t="str">
        <f t="shared" si="12"/>
        <v/>
      </c>
      <c r="K171" s="37" t="b">
        <f t="shared" si="13"/>
        <v>1</v>
      </c>
      <c r="L171" s="37" t="b">
        <f t="shared" si="14"/>
        <v>1</v>
      </c>
      <c r="M171" s="37" t="str">
        <f t="shared" si="15"/>
        <v/>
      </c>
      <c r="N171" s="37" t="b">
        <f t="shared" si="16"/>
        <v>1</v>
      </c>
      <c r="O171" s="37" t="b">
        <f t="shared" si="17"/>
        <v>1</v>
      </c>
      <c r="R171" s="7" t="s">
        <v>11</v>
      </c>
      <c r="U171" s="7" t="s">
        <v>11</v>
      </c>
    </row>
    <row r="172" spans="1:23" x14ac:dyDescent="0.25">
      <c r="A172" s="14" t="s">
        <v>155</v>
      </c>
      <c r="B172" s="31">
        <v>28.6</v>
      </c>
      <c r="C172" s="7"/>
      <c r="D172" s="8" t="s">
        <v>60</v>
      </c>
      <c r="E172" s="31">
        <v>43.9</v>
      </c>
      <c r="F172" s="7"/>
      <c r="G172" s="8" t="s">
        <v>60</v>
      </c>
      <c r="J172" s="37">
        <f t="shared" si="12"/>
        <v>0</v>
      </c>
      <c r="K172" s="37" t="b">
        <f t="shared" si="13"/>
        <v>1</v>
      </c>
      <c r="L172" s="37" t="b">
        <f t="shared" si="14"/>
        <v>1</v>
      </c>
      <c r="M172" s="37">
        <f t="shared" si="15"/>
        <v>0</v>
      </c>
      <c r="N172" s="37" t="b">
        <f t="shared" si="16"/>
        <v>1</v>
      </c>
      <c r="O172" s="37" t="b">
        <f t="shared" si="17"/>
        <v>1</v>
      </c>
      <c r="R172" s="7">
        <v>28.6</v>
      </c>
      <c r="T172" s="7" t="s">
        <v>60</v>
      </c>
      <c r="U172" s="7">
        <v>43.9</v>
      </c>
      <c r="W172" s="7" t="s">
        <v>60</v>
      </c>
    </row>
    <row r="173" spans="1:23" x14ac:dyDescent="0.25">
      <c r="A173" s="15" t="s">
        <v>247</v>
      </c>
      <c r="B173" s="8" t="s">
        <v>11</v>
      </c>
      <c r="C173" s="7"/>
      <c r="D173" s="7"/>
      <c r="E173" s="8" t="s">
        <v>11</v>
      </c>
      <c r="F173" s="7"/>
      <c r="J173" s="37" t="str">
        <f t="shared" si="12"/>
        <v/>
      </c>
      <c r="K173" s="37" t="b">
        <f t="shared" si="13"/>
        <v>1</v>
      </c>
      <c r="L173" s="37" t="b">
        <f t="shared" si="14"/>
        <v>1</v>
      </c>
      <c r="M173" s="37" t="str">
        <f t="shared" si="15"/>
        <v/>
      </c>
      <c r="N173" s="37" t="b">
        <f t="shared" si="16"/>
        <v>1</v>
      </c>
      <c r="O173" s="37" t="b">
        <f t="shared" si="17"/>
        <v>1</v>
      </c>
      <c r="R173" s="7" t="s">
        <v>11</v>
      </c>
      <c r="U173" s="7" t="s">
        <v>11</v>
      </c>
    </row>
    <row r="174" spans="1:23" x14ac:dyDescent="0.25">
      <c r="A174" s="15" t="s">
        <v>248</v>
      </c>
      <c r="B174" s="8" t="s">
        <v>11</v>
      </c>
      <c r="C174" s="7"/>
      <c r="D174" s="7"/>
      <c r="E174" s="8" t="s">
        <v>11</v>
      </c>
      <c r="F174" s="7"/>
      <c r="J174" s="37" t="str">
        <f t="shared" si="12"/>
        <v/>
      </c>
      <c r="K174" s="37" t="b">
        <f t="shared" si="13"/>
        <v>1</v>
      </c>
      <c r="L174" s="37" t="b">
        <f t="shared" si="14"/>
        <v>1</v>
      </c>
      <c r="M174" s="37" t="str">
        <f t="shared" si="15"/>
        <v/>
      </c>
      <c r="N174" s="37" t="b">
        <f t="shared" si="16"/>
        <v>1</v>
      </c>
      <c r="O174" s="37" t="b">
        <f t="shared" si="17"/>
        <v>1</v>
      </c>
      <c r="R174" s="7" t="s">
        <v>11</v>
      </c>
      <c r="U174" s="7" t="s">
        <v>11</v>
      </c>
    </row>
    <row r="175" spans="1:23" x14ac:dyDescent="0.25">
      <c r="A175" s="15" t="s">
        <v>249</v>
      </c>
      <c r="B175" s="8" t="s">
        <v>11</v>
      </c>
      <c r="C175" s="7"/>
      <c r="D175" s="7"/>
      <c r="E175" s="8" t="s">
        <v>11</v>
      </c>
      <c r="F175" s="7"/>
      <c r="J175" s="37" t="str">
        <f t="shared" si="12"/>
        <v/>
      </c>
      <c r="K175" s="37" t="b">
        <f t="shared" si="13"/>
        <v>1</v>
      </c>
      <c r="L175" s="37" t="b">
        <f t="shared" si="14"/>
        <v>1</v>
      </c>
      <c r="M175" s="37" t="str">
        <f t="shared" si="15"/>
        <v/>
      </c>
      <c r="N175" s="37" t="b">
        <f t="shared" si="16"/>
        <v>1</v>
      </c>
      <c r="O175" s="37" t="b">
        <f t="shared" si="17"/>
        <v>1</v>
      </c>
      <c r="R175" s="7" t="s">
        <v>11</v>
      </c>
      <c r="U175" s="7" t="s">
        <v>11</v>
      </c>
    </row>
    <row r="176" spans="1:23" x14ac:dyDescent="0.25">
      <c r="A176" s="14" t="s">
        <v>156</v>
      </c>
      <c r="B176" s="31">
        <v>59.7</v>
      </c>
      <c r="C176" s="7"/>
      <c r="D176" s="8" t="s">
        <v>7</v>
      </c>
      <c r="E176" s="31">
        <v>77.7</v>
      </c>
      <c r="F176" s="7"/>
      <c r="G176" s="8" t="s">
        <v>7</v>
      </c>
      <c r="J176" s="37">
        <f t="shared" si="12"/>
        <v>0</v>
      </c>
      <c r="K176" s="37" t="b">
        <f t="shared" si="13"/>
        <v>1</v>
      </c>
      <c r="L176" s="37" t="b">
        <f t="shared" si="14"/>
        <v>1</v>
      </c>
      <c r="M176" s="37">
        <f t="shared" si="15"/>
        <v>0</v>
      </c>
      <c r="N176" s="37" t="b">
        <f t="shared" si="16"/>
        <v>1</v>
      </c>
      <c r="O176" s="37" t="b">
        <f t="shared" si="17"/>
        <v>1</v>
      </c>
      <c r="R176" s="7">
        <v>59.7</v>
      </c>
      <c r="T176" s="7" t="s">
        <v>7</v>
      </c>
      <c r="U176" s="7">
        <v>77.7</v>
      </c>
      <c r="W176" s="7" t="s">
        <v>7</v>
      </c>
    </row>
    <row r="177" spans="1:23" x14ac:dyDescent="0.25">
      <c r="A177" s="15" t="s">
        <v>204</v>
      </c>
      <c r="B177" s="8" t="s">
        <v>11</v>
      </c>
      <c r="C177" s="7"/>
      <c r="D177" s="7"/>
      <c r="E177" s="31">
        <v>36.700000000000003</v>
      </c>
      <c r="F177" s="7" t="s">
        <v>6</v>
      </c>
      <c r="G177" s="8" t="s">
        <v>295</v>
      </c>
      <c r="J177" s="37" t="str">
        <f t="shared" si="12"/>
        <v/>
      </c>
      <c r="K177" s="37" t="b">
        <f t="shared" si="13"/>
        <v>1</v>
      </c>
      <c r="L177" s="37" t="b">
        <f t="shared" si="14"/>
        <v>1</v>
      </c>
      <c r="M177" s="37">
        <f t="shared" si="15"/>
        <v>0</v>
      </c>
      <c r="N177" s="37" t="b">
        <f t="shared" si="16"/>
        <v>1</v>
      </c>
      <c r="O177" s="37" t="b">
        <f t="shared" si="17"/>
        <v>1</v>
      </c>
      <c r="R177" s="7" t="s">
        <v>11</v>
      </c>
      <c r="U177" s="7">
        <v>36.700000000000003</v>
      </c>
      <c r="V177" s="7" t="s">
        <v>6</v>
      </c>
      <c r="W177" s="7" t="s">
        <v>295</v>
      </c>
    </row>
    <row r="178" spans="1:23" x14ac:dyDescent="0.25">
      <c r="A178" s="15" t="s">
        <v>157</v>
      </c>
      <c r="B178" s="31">
        <v>14</v>
      </c>
      <c r="C178" s="7"/>
      <c r="D178" s="8" t="s">
        <v>72</v>
      </c>
      <c r="E178" s="31">
        <v>7.2</v>
      </c>
      <c r="F178" s="7"/>
      <c r="G178" s="8" t="s">
        <v>72</v>
      </c>
      <c r="J178" s="37">
        <f t="shared" si="12"/>
        <v>0</v>
      </c>
      <c r="K178" s="37" t="b">
        <f t="shared" si="13"/>
        <v>1</v>
      </c>
      <c r="L178" s="37" t="b">
        <f t="shared" si="14"/>
        <v>1</v>
      </c>
      <c r="M178" s="37">
        <f t="shared" si="15"/>
        <v>0</v>
      </c>
      <c r="N178" s="37" t="b">
        <f t="shared" si="16"/>
        <v>1</v>
      </c>
      <c r="O178" s="37" t="b">
        <f t="shared" si="17"/>
        <v>1</v>
      </c>
      <c r="R178" s="7">
        <v>14</v>
      </c>
      <c r="T178" s="7" t="s">
        <v>72</v>
      </c>
      <c r="U178" s="7">
        <v>7.2</v>
      </c>
      <c r="W178" s="7" t="s">
        <v>72</v>
      </c>
    </row>
    <row r="179" spans="1:23" x14ac:dyDescent="0.25">
      <c r="A179" s="15" t="s">
        <v>205</v>
      </c>
      <c r="B179" s="8" t="s">
        <v>11</v>
      </c>
      <c r="C179" s="7"/>
      <c r="D179" s="7"/>
      <c r="E179" s="31">
        <v>71.5</v>
      </c>
      <c r="F179" s="7" t="s">
        <v>28</v>
      </c>
      <c r="G179" s="8" t="s">
        <v>206</v>
      </c>
      <c r="J179" s="37" t="str">
        <f t="shared" si="12"/>
        <v/>
      </c>
      <c r="K179" s="37" t="b">
        <f t="shared" si="13"/>
        <v>1</v>
      </c>
      <c r="L179" s="37" t="b">
        <f t="shared" si="14"/>
        <v>1</v>
      </c>
      <c r="M179" s="37">
        <f t="shared" si="15"/>
        <v>0</v>
      </c>
      <c r="N179" s="37" t="b">
        <f t="shared" si="16"/>
        <v>1</v>
      </c>
      <c r="O179" s="37" t="b">
        <f t="shared" si="17"/>
        <v>1</v>
      </c>
      <c r="R179" s="7" t="s">
        <v>11</v>
      </c>
      <c r="U179" s="7">
        <v>71.5</v>
      </c>
      <c r="V179" s="7" t="s">
        <v>28</v>
      </c>
      <c r="W179" s="7" t="s">
        <v>206</v>
      </c>
    </row>
    <row r="180" spans="1:23" x14ac:dyDescent="0.25">
      <c r="A180" s="15" t="s">
        <v>250</v>
      </c>
      <c r="B180" s="8" t="s">
        <v>11</v>
      </c>
      <c r="C180" s="7"/>
      <c r="D180" s="7"/>
      <c r="E180" s="8" t="s">
        <v>11</v>
      </c>
      <c r="F180" s="7"/>
      <c r="J180" s="37" t="str">
        <f t="shared" si="12"/>
        <v/>
      </c>
      <c r="K180" s="37" t="b">
        <f t="shared" si="13"/>
        <v>1</v>
      </c>
      <c r="L180" s="37" t="b">
        <f t="shared" si="14"/>
        <v>1</v>
      </c>
      <c r="M180" s="37" t="str">
        <f t="shared" si="15"/>
        <v/>
      </c>
      <c r="N180" s="37" t="b">
        <f t="shared" si="16"/>
        <v>1</v>
      </c>
      <c r="O180" s="37" t="b">
        <f t="shared" si="17"/>
        <v>1</v>
      </c>
      <c r="R180" s="7" t="s">
        <v>11</v>
      </c>
      <c r="U180" s="7" t="s">
        <v>11</v>
      </c>
    </row>
    <row r="181" spans="1:23" x14ac:dyDescent="0.25">
      <c r="A181" s="15" t="s">
        <v>208</v>
      </c>
      <c r="B181" s="8" t="s">
        <v>11</v>
      </c>
      <c r="C181" s="7"/>
      <c r="D181" s="7"/>
      <c r="E181" s="31">
        <v>22.3</v>
      </c>
      <c r="F181" s="7"/>
      <c r="G181" s="8" t="s">
        <v>281</v>
      </c>
      <c r="J181" s="37" t="str">
        <f t="shared" si="12"/>
        <v/>
      </c>
      <c r="K181" s="37" t="b">
        <f t="shared" si="13"/>
        <v>1</v>
      </c>
      <c r="L181" s="37" t="b">
        <f t="shared" si="14"/>
        <v>1</v>
      </c>
      <c r="M181" s="37">
        <f t="shared" si="15"/>
        <v>3.0000000000001137E-3</v>
      </c>
      <c r="N181" s="37" t="b">
        <f t="shared" si="16"/>
        <v>1</v>
      </c>
      <c r="O181" s="37" t="b">
        <f t="shared" si="17"/>
        <v>1</v>
      </c>
      <c r="R181" s="7" t="s">
        <v>11</v>
      </c>
      <c r="U181" s="7">
        <v>22.297000000000001</v>
      </c>
      <c r="W181" s="7" t="s">
        <v>281</v>
      </c>
    </row>
    <row r="182" spans="1:23" x14ac:dyDescent="0.25">
      <c r="A182" s="14" t="s">
        <v>210</v>
      </c>
      <c r="B182" s="8" t="s">
        <v>11</v>
      </c>
      <c r="C182" s="7"/>
      <c r="D182" s="7"/>
      <c r="E182" s="31">
        <v>17.600000000000001</v>
      </c>
      <c r="F182" s="7"/>
      <c r="G182" s="8" t="s">
        <v>211</v>
      </c>
      <c r="J182" s="37" t="str">
        <f t="shared" si="12"/>
        <v/>
      </c>
      <c r="K182" s="37" t="b">
        <f t="shared" si="13"/>
        <v>1</v>
      </c>
      <c r="L182" s="37" t="b">
        <f t="shared" si="14"/>
        <v>1</v>
      </c>
      <c r="M182" s="37">
        <f t="shared" si="15"/>
        <v>0</v>
      </c>
      <c r="N182" s="37" t="b">
        <f t="shared" si="16"/>
        <v>1</v>
      </c>
      <c r="O182" s="37" t="b">
        <f t="shared" si="17"/>
        <v>1</v>
      </c>
      <c r="R182" s="7" t="s">
        <v>11</v>
      </c>
      <c r="U182" s="7">
        <v>17.600000000000001</v>
      </c>
      <c r="W182" s="7" t="s">
        <v>211</v>
      </c>
    </row>
    <row r="183" spans="1:23" x14ac:dyDescent="0.25">
      <c r="A183" s="14" t="s">
        <v>212</v>
      </c>
      <c r="B183" s="8" t="s">
        <v>11</v>
      </c>
      <c r="C183" s="7"/>
      <c r="D183" s="7"/>
      <c r="E183" s="31">
        <v>35.5</v>
      </c>
      <c r="F183" s="7" t="s">
        <v>28</v>
      </c>
      <c r="G183" s="8" t="s">
        <v>69</v>
      </c>
      <c r="J183" s="37" t="str">
        <f t="shared" si="12"/>
        <v/>
      </c>
      <c r="K183" s="37" t="b">
        <f t="shared" si="13"/>
        <v>1</v>
      </c>
      <c r="L183" s="37" t="b">
        <f t="shared" si="14"/>
        <v>1</v>
      </c>
      <c r="M183" s="37">
        <f t="shared" si="15"/>
        <v>0</v>
      </c>
      <c r="N183" s="37" t="b">
        <f t="shared" si="16"/>
        <v>1</v>
      </c>
      <c r="O183" s="37" t="b">
        <f t="shared" si="17"/>
        <v>1</v>
      </c>
      <c r="R183" s="7" t="s">
        <v>11</v>
      </c>
      <c r="U183" s="7">
        <v>35.5</v>
      </c>
      <c r="V183" s="7" t="s">
        <v>28</v>
      </c>
      <c r="W183" s="7" t="s">
        <v>69</v>
      </c>
    </row>
    <row r="184" spans="1:23" x14ac:dyDescent="0.25">
      <c r="A184" s="14" t="s">
        <v>159</v>
      </c>
      <c r="B184" s="31">
        <v>7.6</v>
      </c>
      <c r="C184" s="7"/>
      <c r="D184" s="8" t="s">
        <v>107</v>
      </c>
      <c r="E184" s="31">
        <v>6.4</v>
      </c>
      <c r="F184" s="7"/>
      <c r="G184" s="8" t="s">
        <v>107</v>
      </c>
      <c r="J184" s="37">
        <f t="shared" si="12"/>
        <v>0</v>
      </c>
      <c r="K184" s="37" t="b">
        <f t="shared" si="13"/>
        <v>1</v>
      </c>
      <c r="L184" s="37" t="b">
        <f t="shared" si="14"/>
        <v>1</v>
      </c>
      <c r="M184" s="37">
        <f t="shared" si="15"/>
        <v>0</v>
      </c>
      <c r="N184" s="37" t="b">
        <f t="shared" si="16"/>
        <v>1</v>
      </c>
      <c r="O184" s="37" t="b">
        <f t="shared" si="17"/>
        <v>1</v>
      </c>
      <c r="R184" s="7">
        <v>7.6</v>
      </c>
      <c r="T184" s="7" t="s">
        <v>107</v>
      </c>
      <c r="U184" s="7">
        <v>6.4</v>
      </c>
      <c r="W184" s="7" t="s">
        <v>107</v>
      </c>
    </row>
    <row r="185" spans="1:23" x14ac:dyDescent="0.25">
      <c r="A185" s="15" t="s">
        <v>251</v>
      </c>
      <c r="B185" s="8" t="s">
        <v>11</v>
      </c>
      <c r="C185" s="7"/>
      <c r="D185" s="7"/>
      <c r="E185" s="8" t="s">
        <v>11</v>
      </c>
      <c r="F185" s="7"/>
      <c r="J185" s="37" t="str">
        <f t="shared" si="12"/>
        <v/>
      </c>
      <c r="K185" s="37" t="b">
        <f t="shared" si="13"/>
        <v>1</v>
      </c>
      <c r="L185" s="37" t="b">
        <f t="shared" si="14"/>
        <v>1</v>
      </c>
      <c r="M185" s="37" t="str">
        <f t="shared" si="15"/>
        <v/>
      </c>
      <c r="N185" s="37" t="b">
        <f t="shared" si="16"/>
        <v>1</v>
      </c>
      <c r="O185" s="37" t="b">
        <f t="shared" si="17"/>
        <v>1</v>
      </c>
      <c r="R185" s="7" t="s">
        <v>11</v>
      </c>
      <c r="U185" s="7" t="s">
        <v>11</v>
      </c>
    </row>
    <row r="186" spans="1:23" x14ac:dyDescent="0.25">
      <c r="A186" s="15" t="s">
        <v>252</v>
      </c>
      <c r="B186" s="8" t="s">
        <v>11</v>
      </c>
      <c r="C186" s="7"/>
      <c r="D186" s="7"/>
      <c r="E186" s="8" t="s">
        <v>11</v>
      </c>
      <c r="F186" s="7"/>
      <c r="J186" s="37" t="str">
        <f t="shared" si="12"/>
        <v/>
      </c>
      <c r="K186" s="37" t="b">
        <f t="shared" si="13"/>
        <v>1</v>
      </c>
      <c r="L186" s="37" t="b">
        <f t="shared" si="14"/>
        <v>1</v>
      </c>
      <c r="M186" s="37" t="str">
        <f t="shared" si="15"/>
        <v/>
      </c>
      <c r="N186" s="37" t="b">
        <f t="shared" si="16"/>
        <v>1</v>
      </c>
      <c r="O186" s="37" t="b">
        <f t="shared" si="17"/>
        <v>1</v>
      </c>
      <c r="R186" s="7" t="s">
        <v>11</v>
      </c>
      <c r="U186" s="7" t="s">
        <v>11</v>
      </c>
    </row>
    <row r="187" spans="1:23" x14ac:dyDescent="0.25">
      <c r="A187" s="14" t="s">
        <v>253</v>
      </c>
      <c r="B187" s="8" t="s">
        <v>11</v>
      </c>
      <c r="C187" s="7"/>
      <c r="D187" s="7"/>
      <c r="E187" s="8" t="s">
        <v>11</v>
      </c>
      <c r="F187" s="7"/>
      <c r="J187" s="37" t="str">
        <f t="shared" si="12"/>
        <v/>
      </c>
      <c r="K187" s="37" t="b">
        <f t="shared" si="13"/>
        <v>1</v>
      </c>
      <c r="L187" s="37" t="b">
        <f t="shared" si="14"/>
        <v>1</v>
      </c>
      <c r="M187" s="37" t="str">
        <f t="shared" si="15"/>
        <v/>
      </c>
      <c r="N187" s="37" t="b">
        <f t="shared" si="16"/>
        <v>1</v>
      </c>
      <c r="O187" s="37" t="b">
        <f t="shared" si="17"/>
        <v>1</v>
      </c>
      <c r="R187" s="7" t="s">
        <v>11</v>
      </c>
      <c r="U187" s="7" t="s">
        <v>11</v>
      </c>
    </row>
    <row r="188" spans="1:23" x14ac:dyDescent="0.25">
      <c r="A188" s="14" t="s">
        <v>214</v>
      </c>
      <c r="B188" s="8" t="s">
        <v>11</v>
      </c>
      <c r="C188" s="7"/>
      <c r="D188" s="7"/>
      <c r="E188" s="31">
        <v>44.2</v>
      </c>
      <c r="F188" s="7"/>
      <c r="G188" s="8" t="s">
        <v>98</v>
      </c>
      <c r="J188" s="37" t="str">
        <f t="shared" si="12"/>
        <v/>
      </c>
      <c r="K188" s="37" t="b">
        <f t="shared" si="13"/>
        <v>1</v>
      </c>
      <c r="L188" s="37" t="b">
        <f t="shared" si="14"/>
        <v>1</v>
      </c>
      <c r="M188" s="37">
        <f t="shared" si="15"/>
        <v>0</v>
      </c>
      <c r="N188" s="37" t="b">
        <f t="shared" si="16"/>
        <v>1</v>
      </c>
      <c r="O188" s="37" t="b">
        <f t="shared" si="17"/>
        <v>1</v>
      </c>
      <c r="R188" s="7" t="s">
        <v>11</v>
      </c>
      <c r="U188" s="7">
        <v>44.2</v>
      </c>
      <c r="W188" s="7" t="s">
        <v>98</v>
      </c>
    </row>
    <row r="189" spans="1:23" x14ac:dyDescent="0.25">
      <c r="A189" s="14" t="s">
        <v>161</v>
      </c>
      <c r="B189" s="31">
        <v>4.0999999999999996</v>
      </c>
      <c r="C189" s="7"/>
      <c r="D189" s="8" t="s">
        <v>303</v>
      </c>
      <c r="E189" s="31">
        <v>2.2000000000000002</v>
      </c>
      <c r="F189" s="7"/>
      <c r="G189" s="8" t="s">
        <v>303</v>
      </c>
      <c r="J189" s="37">
        <f t="shared" si="12"/>
        <v>-3.6000000000000005</v>
      </c>
      <c r="K189" s="37" t="b">
        <f t="shared" si="13"/>
        <v>1</v>
      </c>
      <c r="L189" s="37" t="b">
        <f t="shared" si="14"/>
        <v>0</v>
      </c>
      <c r="M189" s="37">
        <f t="shared" si="15"/>
        <v>-5.8</v>
      </c>
      <c r="N189" s="37" t="b">
        <f t="shared" si="16"/>
        <v>1</v>
      </c>
      <c r="O189" s="37" t="b">
        <f t="shared" si="17"/>
        <v>0</v>
      </c>
      <c r="R189" s="7">
        <v>7.7</v>
      </c>
      <c r="T189" s="7" t="s">
        <v>18</v>
      </c>
      <c r="U189" s="7">
        <v>8</v>
      </c>
      <c r="W189" s="7" t="s">
        <v>18</v>
      </c>
    </row>
    <row r="190" spans="1:23" ht="15.6" customHeight="1" x14ac:dyDescent="0.25">
      <c r="A190" s="15" t="s">
        <v>162</v>
      </c>
      <c r="B190" s="31">
        <v>48.2</v>
      </c>
      <c r="C190" s="7"/>
      <c r="D190" s="8" t="s">
        <v>72</v>
      </c>
      <c r="E190" s="31">
        <v>69</v>
      </c>
      <c r="F190" s="7"/>
      <c r="G190" s="8" t="s">
        <v>72</v>
      </c>
      <c r="J190" s="37">
        <f t="shared" si="12"/>
        <v>0</v>
      </c>
      <c r="K190" s="37" t="b">
        <f t="shared" si="13"/>
        <v>1</v>
      </c>
      <c r="L190" s="37" t="b">
        <f t="shared" si="14"/>
        <v>1</v>
      </c>
      <c r="M190" s="37">
        <f t="shared" si="15"/>
        <v>0</v>
      </c>
      <c r="N190" s="37" t="b">
        <f t="shared" si="16"/>
        <v>1</v>
      </c>
      <c r="O190" s="37" t="b">
        <f t="shared" si="17"/>
        <v>1</v>
      </c>
      <c r="R190" s="7">
        <v>48.2</v>
      </c>
      <c r="T190" s="7" t="s">
        <v>72</v>
      </c>
      <c r="U190" s="7">
        <v>69</v>
      </c>
      <c r="W190" s="7" t="s">
        <v>72</v>
      </c>
    </row>
    <row r="191" spans="1:23" ht="16.2" customHeight="1" x14ac:dyDescent="0.25">
      <c r="A191" s="14" t="s">
        <v>166</v>
      </c>
      <c r="B191" s="31">
        <v>22.2</v>
      </c>
      <c r="C191" s="7"/>
      <c r="D191" s="8" t="s">
        <v>60</v>
      </c>
      <c r="E191" s="31">
        <v>24.6</v>
      </c>
      <c r="F191" s="7"/>
      <c r="G191" s="8" t="s">
        <v>60</v>
      </c>
      <c r="J191" s="37">
        <f t="shared" si="12"/>
        <v>0</v>
      </c>
      <c r="K191" s="37" t="b">
        <f t="shared" si="13"/>
        <v>1</v>
      </c>
      <c r="L191" s="37" t="b">
        <f t="shared" si="14"/>
        <v>1</v>
      </c>
      <c r="M191" s="37">
        <f t="shared" si="15"/>
        <v>0</v>
      </c>
      <c r="N191" s="37" t="b">
        <f t="shared" si="16"/>
        <v>1</v>
      </c>
      <c r="O191" s="37" t="b">
        <f t="shared" si="17"/>
        <v>1</v>
      </c>
      <c r="R191" s="7">
        <v>22.2</v>
      </c>
      <c r="T191" s="7" t="s">
        <v>60</v>
      </c>
      <c r="U191" s="7">
        <v>24.6</v>
      </c>
      <c r="W191" s="7" t="s">
        <v>60</v>
      </c>
    </row>
    <row r="192" spans="1:23" ht="16.2" customHeight="1" x14ac:dyDescent="0.25">
      <c r="A192" s="14" t="s">
        <v>254</v>
      </c>
      <c r="B192" s="8" t="s">
        <v>11</v>
      </c>
      <c r="C192" s="7"/>
      <c r="D192" s="7"/>
      <c r="E192" s="8" t="s">
        <v>11</v>
      </c>
      <c r="F192" s="7"/>
      <c r="J192" s="37" t="str">
        <f t="shared" si="12"/>
        <v/>
      </c>
      <c r="K192" s="37" t="b">
        <f t="shared" si="13"/>
        <v>1</v>
      </c>
      <c r="L192" s="37" t="b">
        <f t="shared" si="14"/>
        <v>1</v>
      </c>
      <c r="M192" s="37" t="str">
        <f t="shared" si="15"/>
        <v/>
      </c>
      <c r="N192" s="37" t="b">
        <f t="shared" si="16"/>
        <v>1</v>
      </c>
      <c r="O192" s="37" t="b">
        <f t="shared" si="17"/>
        <v>1</v>
      </c>
      <c r="R192" s="7" t="s">
        <v>11</v>
      </c>
      <c r="U192" s="7" t="s">
        <v>11</v>
      </c>
    </row>
    <row r="193" spans="1:23" ht="16.2" customHeight="1" x14ac:dyDescent="0.25">
      <c r="A193" s="14" t="s">
        <v>168</v>
      </c>
      <c r="B193" s="31">
        <v>22</v>
      </c>
      <c r="C193" s="7"/>
      <c r="D193" s="8" t="s">
        <v>18</v>
      </c>
      <c r="E193" s="31">
        <v>30.7</v>
      </c>
      <c r="F193" s="7"/>
      <c r="G193" s="8" t="s">
        <v>18</v>
      </c>
      <c r="J193" s="37">
        <f t="shared" si="12"/>
        <v>0</v>
      </c>
      <c r="K193" s="37" t="b">
        <f t="shared" si="13"/>
        <v>1</v>
      </c>
      <c r="L193" s="37" t="b">
        <f t="shared" si="14"/>
        <v>1</v>
      </c>
      <c r="M193" s="37">
        <f t="shared" si="15"/>
        <v>0</v>
      </c>
      <c r="N193" s="37" t="b">
        <f t="shared" si="16"/>
        <v>1</v>
      </c>
      <c r="O193" s="37" t="b">
        <f t="shared" si="17"/>
        <v>1</v>
      </c>
      <c r="R193" s="7">
        <v>22</v>
      </c>
      <c r="T193" s="7" t="s">
        <v>18</v>
      </c>
      <c r="U193" s="7">
        <v>30.7</v>
      </c>
      <c r="W193" s="7" t="s">
        <v>18</v>
      </c>
    </row>
    <row r="194" spans="1:23" ht="15.6" customHeight="1" x14ac:dyDescent="0.25">
      <c r="A194" s="14" t="s">
        <v>218</v>
      </c>
      <c r="B194" s="8" t="s">
        <v>11</v>
      </c>
      <c r="C194" s="7"/>
      <c r="D194" s="7"/>
      <c r="E194" s="31">
        <v>7.6</v>
      </c>
      <c r="F194" s="7" t="s">
        <v>28</v>
      </c>
      <c r="G194" s="8" t="s">
        <v>111</v>
      </c>
      <c r="J194" s="37" t="str">
        <f t="shared" si="12"/>
        <v/>
      </c>
      <c r="K194" s="37" t="b">
        <f t="shared" si="13"/>
        <v>1</v>
      </c>
      <c r="L194" s="37" t="b">
        <f t="shared" si="14"/>
        <v>1</v>
      </c>
      <c r="M194" s="37">
        <f t="shared" si="15"/>
        <v>0</v>
      </c>
      <c r="N194" s="37" t="b">
        <f t="shared" si="16"/>
        <v>1</v>
      </c>
      <c r="O194" s="37" t="b">
        <f t="shared" si="17"/>
        <v>1</v>
      </c>
      <c r="R194" s="7" t="s">
        <v>11</v>
      </c>
      <c r="U194" s="7">
        <v>7.6</v>
      </c>
      <c r="V194" s="7" t="s">
        <v>28</v>
      </c>
      <c r="W194" s="7" t="s">
        <v>111</v>
      </c>
    </row>
    <row r="195" spans="1:23" ht="14.4" customHeight="1" x14ac:dyDescent="0.25">
      <c r="A195" s="14" t="s">
        <v>169</v>
      </c>
      <c r="B195" s="31">
        <v>12.9</v>
      </c>
      <c r="C195" s="7"/>
      <c r="D195" s="8" t="s">
        <v>314</v>
      </c>
      <c r="E195" s="31">
        <v>4.5999999999999996</v>
      </c>
      <c r="F195" s="7"/>
      <c r="G195" s="8" t="s">
        <v>314</v>
      </c>
      <c r="J195" s="37">
        <f t="shared" si="12"/>
        <v>-8.9999999999999982</v>
      </c>
      <c r="K195" s="37" t="b">
        <f t="shared" si="13"/>
        <v>1</v>
      </c>
      <c r="L195" s="37" t="b">
        <f t="shared" si="14"/>
        <v>0</v>
      </c>
      <c r="M195" s="37">
        <f t="shared" si="15"/>
        <v>-9.2000000000000011</v>
      </c>
      <c r="N195" s="37" t="b">
        <f t="shared" si="16"/>
        <v>1</v>
      </c>
      <c r="O195" s="37" t="b">
        <f t="shared" si="17"/>
        <v>0</v>
      </c>
      <c r="R195" s="7">
        <v>21.9</v>
      </c>
      <c r="T195" s="7" t="s">
        <v>107</v>
      </c>
      <c r="U195" s="7">
        <v>13.8</v>
      </c>
      <c r="W195" s="7" t="s">
        <v>107</v>
      </c>
    </row>
    <row r="196" spans="1:23" ht="14.4" customHeight="1" x14ac:dyDescent="0.25">
      <c r="A196" s="15" t="s">
        <v>287</v>
      </c>
      <c r="B196" s="8" t="s">
        <v>11</v>
      </c>
      <c r="C196" s="7"/>
      <c r="D196" s="7"/>
      <c r="E196" s="31">
        <v>6.4</v>
      </c>
      <c r="F196" s="7"/>
      <c r="G196" s="8" t="s">
        <v>43</v>
      </c>
      <c r="J196" s="37" t="str">
        <f t="shared" si="12"/>
        <v/>
      </c>
      <c r="K196" s="37" t="b">
        <f t="shared" si="13"/>
        <v>1</v>
      </c>
      <c r="L196" s="37" t="b">
        <f t="shared" si="14"/>
        <v>1</v>
      </c>
      <c r="M196" s="37">
        <f t="shared" si="15"/>
        <v>0</v>
      </c>
      <c r="N196" s="37" t="b">
        <f t="shared" si="16"/>
        <v>1</v>
      </c>
      <c r="O196" s="37" t="b">
        <f t="shared" si="17"/>
        <v>1</v>
      </c>
      <c r="R196" s="7" t="s">
        <v>11</v>
      </c>
      <c r="U196" s="7">
        <v>6.4</v>
      </c>
      <c r="W196" s="7" t="s">
        <v>43</v>
      </c>
    </row>
    <row r="197" spans="1:23" ht="14.4" customHeight="1" x14ac:dyDescent="0.25">
      <c r="A197" s="15" t="s">
        <v>220</v>
      </c>
      <c r="B197" s="8" t="s">
        <v>11</v>
      </c>
      <c r="C197" s="7"/>
      <c r="D197" s="7"/>
      <c r="E197" s="31">
        <v>45.9</v>
      </c>
      <c r="F197" s="7"/>
      <c r="G197" s="8" t="s">
        <v>18</v>
      </c>
      <c r="J197" s="37" t="str">
        <f t="shared" si="12"/>
        <v/>
      </c>
      <c r="K197" s="37" t="b">
        <f t="shared" si="13"/>
        <v>1</v>
      </c>
      <c r="L197" s="37" t="b">
        <f t="shared" si="14"/>
        <v>1</v>
      </c>
      <c r="M197" s="37">
        <f t="shared" si="15"/>
        <v>-3.0000000000001137E-3</v>
      </c>
      <c r="N197" s="37" t="b">
        <f t="shared" si="16"/>
        <v>1</v>
      </c>
      <c r="O197" s="37" t="b">
        <f t="shared" si="17"/>
        <v>1</v>
      </c>
      <c r="R197" s="7" t="s">
        <v>11</v>
      </c>
      <c r="U197" s="7">
        <v>45.902999999999999</v>
      </c>
      <c r="W197" s="7" t="s">
        <v>18</v>
      </c>
    </row>
    <row r="198" spans="1:23" ht="14.4" customHeight="1" x14ac:dyDescent="0.25">
      <c r="A198" s="15" t="s">
        <v>255</v>
      </c>
      <c r="B198" s="31">
        <v>3.6</v>
      </c>
      <c r="C198" s="7" t="s">
        <v>282</v>
      </c>
      <c r="D198" s="8" t="s">
        <v>211</v>
      </c>
      <c r="E198" s="31">
        <v>0</v>
      </c>
      <c r="F198" s="7"/>
      <c r="G198" s="8" t="s">
        <v>211</v>
      </c>
      <c r="J198" s="37">
        <f t="shared" si="12"/>
        <v>1.2999999999999901E-2</v>
      </c>
      <c r="K198" s="37" t="b">
        <f t="shared" si="13"/>
        <v>1</v>
      </c>
      <c r="L198" s="37" t="b">
        <f t="shared" si="14"/>
        <v>1</v>
      </c>
      <c r="M198" s="37">
        <f t="shared" si="15"/>
        <v>0</v>
      </c>
      <c r="N198" s="37" t="b">
        <f t="shared" si="16"/>
        <v>1</v>
      </c>
      <c r="O198" s="37" t="b">
        <f t="shared" si="17"/>
        <v>1</v>
      </c>
      <c r="R198" s="7">
        <v>3.5870000000000002</v>
      </c>
      <c r="S198" s="7" t="s">
        <v>282</v>
      </c>
      <c r="T198" s="7" t="s">
        <v>211</v>
      </c>
      <c r="U198" s="7">
        <v>0</v>
      </c>
      <c r="W198" s="7" t="s">
        <v>211</v>
      </c>
    </row>
    <row r="199" spans="1:23" ht="14.4" customHeight="1" x14ac:dyDescent="0.25">
      <c r="A199" s="15" t="s">
        <v>170</v>
      </c>
      <c r="B199" s="31">
        <v>51.5</v>
      </c>
      <c r="C199" s="7"/>
      <c r="D199" s="8" t="s">
        <v>211</v>
      </c>
      <c r="E199" s="31">
        <v>37.200000000000003</v>
      </c>
      <c r="F199" s="7"/>
      <c r="G199" s="8" t="s">
        <v>211</v>
      </c>
      <c r="J199" s="37">
        <f t="shared" si="12"/>
        <v>2.7000000000001023E-2</v>
      </c>
      <c r="K199" s="37" t="b">
        <f t="shared" si="13"/>
        <v>1</v>
      </c>
      <c r="L199" s="37" t="b">
        <f t="shared" si="14"/>
        <v>1</v>
      </c>
      <c r="M199" s="37">
        <f t="shared" si="15"/>
        <v>-3.9999999999999147E-2</v>
      </c>
      <c r="N199" s="37" t="b">
        <f t="shared" si="16"/>
        <v>1</v>
      </c>
      <c r="O199" s="37" t="b">
        <f t="shared" si="17"/>
        <v>1</v>
      </c>
      <c r="R199" s="7">
        <v>51.472999999999999</v>
      </c>
      <c r="T199" s="7" t="s">
        <v>211</v>
      </c>
      <c r="U199" s="7">
        <v>37.24</v>
      </c>
      <c r="W199" s="7" t="s">
        <v>211</v>
      </c>
    </row>
    <row r="200" spans="1:23" ht="14.4" customHeight="1" x14ac:dyDescent="0.25">
      <c r="A200" s="15" t="s">
        <v>171</v>
      </c>
      <c r="B200" s="31">
        <v>53</v>
      </c>
      <c r="C200" s="7"/>
      <c r="D200" s="8" t="s">
        <v>72</v>
      </c>
      <c r="E200" s="31">
        <v>57.5</v>
      </c>
      <c r="F200" s="7"/>
      <c r="G200" s="8" t="s">
        <v>72</v>
      </c>
      <c r="J200" s="37">
        <f t="shared" si="12"/>
        <v>0</v>
      </c>
      <c r="K200" s="37" t="b">
        <f t="shared" si="13"/>
        <v>1</v>
      </c>
      <c r="L200" s="37" t="b">
        <f t="shared" si="14"/>
        <v>1</v>
      </c>
      <c r="M200" s="37">
        <f t="shared" si="15"/>
        <v>0</v>
      </c>
      <c r="N200" s="37" t="b">
        <f t="shared" si="16"/>
        <v>1</v>
      </c>
      <c r="O200" s="37" t="b">
        <f t="shared" si="17"/>
        <v>1</v>
      </c>
      <c r="R200" s="7">
        <v>53</v>
      </c>
      <c r="T200" s="7" t="s">
        <v>72</v>
      </c>
      <c r="U200" s="7">
        <v>57.5</v>
      </c>
      <c r="W200" s="7" t="s">
        <v>72</v>
      </c>
    </row>
    <row r="201" spans="1:23" ht="14.4" customHeight="1" x14ac:dyDescent="0.25">
      <c r="A201" s="14" t="s">
        <v>173</v>
      </c>
      <c r="B201" s="31">
        <v>1.6</v>
      </c>
      <c r="C201" s="7" t="s">
        <v>28</v>
      </c>
      <c r="D201" s="8" t="s">
        <v>33</v>
      </c>
      <c r="E201" s="31">
        <v>2.2000000000000002</v>
      </c>
      <c r="F201" s="7" t="s">
        <v>28</v>
      </c>
      <c r="G201" s="8" t="s">
        <v>33</v>
      </c>
      <c r="J201" s="37">
        <f t="shared" si="12"/>
        <v>0</v>
      </c>
      <c r="K201" s="37" t="b">
        <f t="shared" si="13"/>
        <v>1</v>
      </c>
      <c r="L201" s="37" t="b">
        <f t="shared" si="14"/>
        <v>1</v>
      </c>
      <c r="M201" s="37">
        <f t="shared" si="15"/>
        <v>0</v>
      </c>
      <c r="N201" s="37" t="b">
        <f t="shared" si="16"/>
        <v>1</v>
      </c>
      <c r="O201" s="37" t="b">
        <f t="shared" si="17"/>
        <v>1</v>
      </c>
      <c r="R201" s="7">
        <v>1.6</v>
      </c>
      <c r="S201" s="7" t="s">
        <v>28</v>
      </c>
      <c r="T201" s="7" t="s">
        <v>33</v>
      </c>
      <c r="U201" s="7">
        <v>2.2000000000000002</v>
      </c>
      <c r="V201" s="7" t="s">
        <v>28</v>
      </c>
      <c r="W201" s="7" t="s">
        <v>33</v>
      </c>
    </row>
    <row r="202" spans="1:23" ht="14.4" customHeight="1" x14ac:dyDescent="0.25">
      <c r="A202" s="15" t="s">
        <v>256</v>
      </c>
      <c r="B202" s="8" t="s">
        <v>11</v>
      </c>
      <c r="C202" s="7"/>
      <c r="D202" s="7"/>
      <c r="E202" s="8" t="s">
        <v>11</v>
      </c>
      <c r="F202" s="7"/>
      <c r="J202" s="37" t="str">
        <f t="shared" si="12"/>
        <v/>
      </c>
      <c r="K202" s="37" t="b">
        <f t="shared" si="13"/>
        <v>1</v>
      </c>
      <c r="L202" s="37" t="b">
        <f t="shared" si="14"/>
        <v>1</v>
      </c>
      <c r="M202" s="37" t="str">
        <f t="shared" si="15"/>
        <v/>
      </c>
      <c r="N202" s="37" t="b">
        <f t="shared" si="16"/>
        <v>1</v>
      </c>
      <c r="O202" s="37" t="b">
        <f t="shared" si="17"/>
        <v>1</v>
      </c>
      <c r="R202" s="7" t="s">
        <v>11</v>
      </c>
      <c r="U202" s="7" t="s">
        <v>11</v>
      </c>
    </row>
    <row r="203" spans="1:23" ht="14.4" customHeight="1" x14ac:dyDescent="0.25">
      <c r="A203" s="15" t="s">
        <v>257</v>
      </c>
      <c r="B203" s="8" t="s">
        <v>11</v>
      </c>
      <c r="C203" s="7"/>
      <c r="D203" s="7"/>
      <c r="E203" s="8" t="s">
        <v>11</v>
      </c>
      <c r="F203" s="7"/>
      <c r="J203" s="37" t="str">
        <f t="shared" si="12"/>
        <v/>
      </c>
      <c r="K203" s="37" t="b">
        <f t="shared" si="13"/>
        <v>1</v>
      </c>
      <c r="L203" s="37" t="b">
        <f t="shared" si="14"/>
        <v>1</v>
      </c>
      <c r="M203" s="37" t="str">
        <f t="shared" si="15"/>
        <v/>
      </c>
      <c r="N203" s="37" t="b">
        <f t="shared" si="16"/>
        <v>1</v>
      </c>
      <c r="O203" s="37" t="b">
        <f t="shared" si="17"/>
        <v>1</v>
      </c>
      <c r="R203" s="7" t="s">
        <v>11</v>
      </c>
      <c r="U203" s="7" t="s">
        <v>11</v>
      </c>
    </row>
    <row r="204" spans="1:23" ht="14.4" customHeight="1" x14ac:dyDescent="0.25">
      <c r="A204" s="15" t="s">
        <v>174</v>
      </c>
      <c r="B204" s="31">
        <v>37.200000000000003</v>
      </c>
      <c r="C204" s="7"/>
      <c r="D204" s="8" t="s">
        <v>305</v>
      </c>
      <c r="E204" s="31">
        <v>47.4</v>
      </c>
      <c r="F204" s="7"/>
      <c r="G204" s="8" t="s">
        <v>305</v>
      </c>
      <c r="J204" s="37">
        <f t="shared" ref="J204:J228" si="18">IF(ISNUMBER(B204),B204-R204,"")</f>
        <v>-12.399999999999999</v>
      </c>
      <c r="K204" s="37" t="b">
        <f t="shared" ref="K204:K228" si="19">C204=S204</f>
        <v>1</v>
      </c>
      <c r="L204" s="37" t="b">
        <f t="shared" ref="L204:L228" si="20">D204=T204</f>
        <v>0</v>
      </c>
      <c r="M204" s="37">
        <f t="shared" ref="M204:M228" si="21">IF(ISNUMBER(E204),E204-U204,"")</f>
        <v>-11.700000000000003</v>
      </c>
      <c r="N204" s="37" t="b">
        <f t="shared" ref="N204:N228" si="22">F204=V204</f>
        <v>1</v>
      </c>
      <c r="O204" s="37" t="b">
        <f t="shared" ref="O204:O228" si="23">G204=W204</f>
        <v>0</v>
      </c>
      <c r="R204" s="7">
        <v>49.6</v>
      </c>
      <c r="T204" s="7" t="s">
        <v>14</v>
      </c>
      <c r="U204" s="7">
        <v>59.1</v>
      </c>
      <c r="W204" s="7" t="s">
        <v>14</v>
      </c>
    </row>
    <row r="205" spans="1:23" ht="14.4" customHeight="1" x14ac:dyDescent="0.25">
      <c r="A205" s="15" t="s">
        <v>258</v>
      </c>
      <c r="B205" s="8" t="s">
        <v>11</v>
      </c>
      <c r="C205" s="7"/>
      <c r="D205" s="7"/>
      <c r="E205" s="8" t="s">
        <v>11</v>
      </c>
      <c r="F205" s="7"/>
      <c r="J205" s="37" t="str">
        <f t="shared" si="18"/>
        <v/>
      </c>
      <c r="K205" s="37" t="b">
        <f t="shared" si="19"/>
        <v>1</v>
      </c>
      <c r="L205" s="37" t="b">
        <f t="shared" si="20"/>
        <v>1</v>
      </c>
      <c r="M205" s="37" t="str">
        <f t="shared" si="21"/>
        <v/>
      </c>
      <c r="N205" s="37" t="b">
        <f t="shared" si="22"/>
        <v>1</v>
      </c>
      <c r="O205" s="37" t="b">
        <f t="shared" si="23"/>
        <v>1</v>
      </c>
      <c r="R205" s="7" t="s">
        <v>11</v>
      </c>
      <c r="U205" s="7" t="s">
        <v>11</v>
      </c>
    </row>
    <row r="206" spans="1:23" ht="14.4" customHeight="1" x14ac:dyDescent="0.25">
      <c r="A206" s="15" t="s">
        <v>223</v>
      </c>
      <c r="B206" s="8" t="s">
        <v>11</v>
      </c>
      <c r="C206" s="7"/>
      <c r="D206" s="7"/>
      <c r="E206" s="31">
        <v>3.3</v>
      </c>
      <c r="F206" s="7" t="s">
        <v>28</v>
      </c>
      <c r="G206" s="8" t="s">
        <v>184</v>
      </c>
      <c r="J206" s="37" t="str">
        <f t="shared" si="18"/>
        <v/>
      </c>
      <c r="K206" s="37" t="b">
        <f t="shared" si="19"/>
        <v>1</v>
      </c>
      <c r="L206" s="37" t="b">
        <f t="shared" si="20"/>
        <v>1</v>
      </c>
      <c r="M206" s="37">
        <f t="shared" si="21"/>
        <v>0</v>
      </c>
      <c r="N206" s="37" t="b">
        <f t="shared" si="22"/>
        <v>1</v>
      </c>
      <c r="O206" s="37" t="b">
        <f t="shared" si="23"/>
        <v>1</v>
      </c>
      <c r="R206" s="7" t="s">
        <v>11</v>
      </c>
      <c r="U206" s="7">
        <v>3.3</v>
      </c>
      <c r="V206" s="7" t="s">
        <v>28</v>
      </c>
      <c r="W206" s="7" t="s">
        <v>184</v>
      </c>
    </row>
    <row r="207" spans="1:23" ht="14.4" customHeight="1" x14ac:dyDescent="0.25">
      <c r="A207" s="15" t="s">
        <v>225</v>
      </c>
      <c r="B207" s="8" t="s">
        <v>11</v>
      </c>
      <c r="C207" s="7"/>
      <c r="D207" s="7"/>
      <c r="E207" s="31">
        <v>31.5</v>
      </c>
      <c r="F207" s="7"/>
      <c r="G207" s="8" t="s">
        <v>296</v>
      </c>
      <c r="J207" s="37" t="str">
        <f t="shared" si="18"/>
        <v/>
      </c>
      <c r="K207" s="37" t="b">
        <f t="shared" si="19"/>
        <v>1</v>
      </c>
      <c r="L207" s="37" t="b">
        <f t="shared" si="20"/>
        <v>1</v>
      </c>
      <c r="M207" s="37">
        <f t="shared" si="21"/>
        <v>-3.0000000000001137E-2</v>
      </c>
      <c r="N207" s="37" t="b">
        <f t="shared" si="22"/>
        <v>1</v>
      </c>
      <c r="O207" s="37" t="b">
        <f t="shared" si="23"/>
        <v>1</v>
      </c>
      <c r="R207" s="7" t="s">
        <v>11</v>
      </c>
      <c r="U207" s="7">
        <v>31.53</v>
      </c>
      <c r="W207" s="7" t="s">
        <v>296</v>
      </c>
    </row>
    <row r="208" spans="1:23" ht="14.4" customHeight="1" x14ac:dyDescent="0.25">
      <c r="A208" s="14" t="s">
        <v>176</v>
      </c>
      <c r="B208" s="31">
        <v>59.5</v>
      </c>
      <c r="C208" s="7" t="s">
        <v>6</v>
      </c>
      <c r="D208" s="8" t="s">
        <v>314</v>
      </c>
      <c r="E208" s="31">
        <v>51.1</v>
      </c>
      <c r="F208" s="7" t="s">
        <v>6</v>
      </c>
      <c r="G208" s="8" t="s">
        <v>314</v>
      </c>
      <c r="J208" s="37">
        <f t="shared" si="18"/>
        <v>-3</v>
      </c>
      <c r="K208" s="37" t="b">
        <f t="shared" si="19"/>
        <v>0</v>
      </c>
      <c r="L208" s="37" t="b">
        <f t="shared" si="20"/>
        <v>0</v>
      </c>
      <c r="M208" s="37">
        <f t="shared" si="21"/>
        <v>-4.7999999999999972</v>
      </c>
      <c r="N208" s="37" t="b">
        <f t="shared" si="22"/>
        <v>0</v>
      </c>
      <c r="O208" s="37" t="b">
        <f t="shared" si="23"/>
        <v>0</v>
      </c>
      <c r="R208" s="7">
        <v>62.5</v>
      </c>
      <c r="S208" s="7" t="s">
        <v>28</v>
      </c>
      <c r="T208" s="7" t="s">
        <v>133</v>
      </c>
      <c r="U208" s="7">
        <v>55.9</v>
      </c>
      <c r="V208" s="7" t="s">
        <v>28</v>
      </c>
      <c r="W208" s="7" t="s">
        <v>133</v>
      </c>
    </row>
    <row r="209" spans="1:23" ht="14.4" customHeight="1" x14ac:dyDescent="0.25">
      <c r="A209" s="15" t="s">
        <v>259</v>
      </c>
      <c r="B209" s="8" t="s">
        <v>11</v>
      </c>
      <c r="C209" s="7"/>
      <c r="D209" s="7"/>
      <c r="E209" s="8" t="s">
        <v>11</v>
      </c>
      <c r="F209" s="7"/>
      <c r="J209" s="37" t="str">
        <f t="shared" si="18"/>
        <v/>
      </c>
      <c r="K209" s="37" t="b">
        <f t="shared" si="19"/>
        <v>1</v>
      </c>
      <c r="L209" s="37" t="b">
        <f t="shared" si="20"/>
        <v>1</v>
      </c>
      <c r="M209" s="37" t="str">
        <f t="shared" si="21"/>
        <v/>
      </c>
      <c r="N209" s="37" t="b">
        <f t="shared" si="22"/>
        <v>1</v>
      </c>
      <c r="O209" s="37" t="b">
        <f t="shared" si="23"/>
        <v>1</v>
      </c>
      <c r="R209" s="7" t="s">
        <v>11</v>
      </c>
      <c r="U209" s="7" t="s">
        <v>11</v>
      </c>
    </row>
    <row r="210" spans="1:23" ht="14.4" customHeight="1" x14ac:dyDescent="0.25">
      <c r="A210" s="14" t="s">
        <v>227</v>
      </c>
      <c r="B210" s="31">
        <v>8.1999999999999993</v>
      </c>
      <c r="C210" s="7"/>
      <c r="D210" s="8" t="s">
        <v>297</v>
      </c>
      <c r="E210" s="31">
        <v>7.9</v>
      </c>
      <c r="F210" s="7"/>
      <c r="G210" s="8" t="s">
        <v>297</v>
      </c>
      <c r="J210" s="37">
        <f t="shared" si="18"/>
        <v>-4.0000000000013358E-3</v>
      </c>
      <c r="K210" s="37" t="b">
        <f t="shared" si="19"/>
        <v>1</v>
      </c>
      <c r="L210" s="37" t="b">
        <f t="shared" si="20"/>
        <v>1</v>
      </c>
      <c r="M210" s="37">
        <f t="shared" si="21"/>
        <v>-3.3999999999999808E-2</v>
      </c>
      <c r="N210" s="37" t="b">
        <f t="shared" si="22"/>
        <v>1</v>
      </c>
      <c r="O210" s="37" t="b">
        <f t="shared" si="23"/>
        <v>1</v>
      </c>
      <c r="R210" s="7">
        <v>8.2040000000000006</v>
      </c>
      <c r="T210" s="7" t="s">
        <v>297</v>
      </c>
      <c r="U210" s="7">
        <v>7.9340000000000002</v>
      </c>
      <c r="W210" s="7" t="s">
        <v>297</v>
      </c>
    </row>
    <row r="211" spans="1:23" ht="14.4" customHeight="1" x14ac:dyDescent="0.25">
      <c r="A211" s="14" t="s">
        <v>228</v>
      </c>
      <c r="B211" s="8" t="s">
        <v>11</v>
      </c>
      <c r="C211" s="7"/>
      <c r="D211" s="7"/>
      <c r="E211" s="31">
        <v>48.5</v>
      </c>
      <c r="F211" s="7" t="s">
        <v>28</v>
      </c>
      <c r="G211" s="8" t="s">
        <v>133</v>
      </c>
      <c r="J211" s="37" t="str">
        <f t="shared" si="18"/>
        <v/>
      </c>
      <c r="K211" s="37" t="b">
        <f t="shared" si="19"/>
        <v>1</v>
      </c>
      <c r="L211" s="37" t="b">
        <f t="shared" si="20"/>
        <v>1</v>
      </c>
      <c r="M211" s="37">
        <f t="shared" si="21"/>
        <v>0</v>
      </c>
      <c r="N211" s="37" t="b">
        <f t="shared" si="22"/>
        <v>1</v>
      </c>
      <c r="O211" s="37" t="b">
        <f t="shared" si="23"/>
        <v>1</v>
      </c>
      <c r="R211" s="7" t="s">
        <v>11</v>
      </c>
      <c r="U211" s="7">
        <v>48.5</v>
      </c>
      <c r="V211" s="7" t="s">
        <v>28</v>
      </c>
      <c r="W211" s="7" t="s">
        <v>133</v>
      </c>
    </row>
    <row r="212" spans="1:23" ht="14.4" customHeight="1" x14ac:dyDescent="0.25">
      <c r="A212" s="15" t="s">
        <v>178</v>
      </c>
      <c r="B212" s="31">
        <v>31.5</v>
      </c>
      <c r="C212" s="7"/>
      <c r="D212" s="8" t="s">
        <v>43</v>
      </c>
      <c r="E212" s="31">
        <v>46.5</v>
      </c>
      <c r="F212" s="7"/>
      <c r="G212" s="8" t="s">
        <v>43</v>
      </c>
      <c r="J212" s="37">
        <f t="shared" si="18"/>
        <v>0</v>
      </c>
      <c r="K212" s="37" t="b">
        <f t="shared" si="19"/>
        <v>1</v>
      </c>
      <c r="L212" s="37" t="b">
        <f t="shared" si="20"/>
        <v>1</v>
      </c>
      <c r="M212" s="37">
        <f t="shared" si="21"/>
        <v>0</v>
      </c>
      <c r="N212" s="37" t="b">
        <f t="shared" si="22"/>
        <v>1</v>
      </c>
      <c r="O212" s="37" t="b">
        <f t="shared" si="23"/>
        <v>1</v>
      </c>
      <c r="R212" s="7">
        <v>31.5</v>
      </c>
      <c r="T212" s="7" t="s">
        <v>43</v>
      </c>
      <c r="U212" s="7">
        <v>46.5</v>
      </c>
      <c r="W212" s="7" t="s">
        <v>43</v>
      </c>
    </row>
    <row r="213" spans="1:23" ht="14.4" customHeight="1" x14ac:dyDescent="0.25">
      <c r="A213" s="15" t="s">
        <v>181</v>
      </c>
      <c r="B213" s="31">
        <v>48.9</v>
      </c>
      <c r="C213" s="7"/>
      <c r="D213" s="8" t="s">
        <v>7</v>
      </c>
      <c r="E213" s="31">
        <v>53.5</v>
      </c>
      <c r="F213" s="7"/>
      <c r="G213" s="8" t="s">
        <v>7</v>
      </c>
      <c r="J213" s="37">
        <f t="shared" si="18"/>
        <v>0</v>
      </c>
      <c r="K213" s="37" t="b">
        <f t="shared" si="19"/>
        <v>1</v>
      </c>
      <c r="L213" s="37" t="b">
        <f t="shared" si="20"/>
        <v>1</v>
      </c>
      <c r="M213" s="37">
        <f t="shared" si="21"/>
        <v>0</v>
      </c>
      <c r="N213" s="37" t="b">
        <f t="shared" si="22"/>
        <v>1</v>
      </c>
      <c r="O213" s="37" t="b">
        <f t="shared" si="23"/>
        <v>1</v>
      </c>
      <c r="R213" s="7">
        <v>48.9</v>
      </c>
      <c r="T213" s="7" t="s">
        <v>7</v>
      </c>
      <c r="U213" s="7">
        <v>53.5</v>
      </c>
      <c r="W213" s="7" t="s">
        <v>7</v>
      </c>
    </row>
    <row r="214" spans="1:23" ht="14.4" customHeight="1" x14ac:dyDescent="0.25">
      <c r="A214" s="14"/>
      <c r="B214" s="7"/>
      <c r="C214" s="7"/>
      <c r="D214" s="7"/>
      <c r="E214" s="7"/>
      <c r="F214" s="7"/>
      <c r="J214" s="37" t="str">
        <f t="shared" si="18"/>
        <v/>
      </c>
      <c r="K214" s="37" t="b">
        <f t="shared" si="19"/>
        <v>1</v>
      </c>
      <c r="L214" s="37" t="b">
        <f t="shared" si="20"/>
        <v>1</v>
      </c>
      <c r="M214" s="37" t="str">
        <f t="shared" si="21"/>
        <v/>
      </c>
      <c r="N214" s="37" t="b">
        <f t="shared" si="22"/>
        <v>1</v>
      </c>
      <c r="O214" s="37" t="b">
        <f t="shared" si="23"/>
        <v>1</v>
      </c>
    </row>
    <row r="215" spans="1:23" x14ac:dyDescent="0.25">
      <c r="A215" s="1" t="s">
        <v>260</v>
      </c>
      <c r="B215" s="7"/>
      <c r="C215" s="7"/>
      <c r="D215" s="7"/>
      <c r="E215" s="7"/>
      <c r="F215" s="7"/>
      <c r="J215" s="37" t="str">
        <f t="shared" si="18"/>
        <v/>
      </c>
      <c r="K215" s="37" t="b">
        <f t="shared" si="19"/>
        <v>1</v>
      </c>
      <c r="L215" s="37" t="b">
        <f t="shared" si="20"/>
        <v>1</v>
      </c>
      <c r="M215" s="37" t="str">
        <f t="shared" si="21"/>
        <v/>
      </c>
      <c r="N215" s="37" t="b">
        <f t="shared" si="22"/>
        <v>1</v>
      </c>
      <c r="O215" s="37" t="b">
        <f t="shared" si="23"/>
        <v>1</v>
      </c>
    </row>
    <row r="216" spans="1:23" x14ac:dyDescent="0.25">
      <c r="A216" s="2" t="s">
        <v>193</v>
      </c>
      <c r="B216" s="8" t="s">
        <v>11</v>
      </c>
      <c r="C216" s="7"/>
      <c r="D216" s="7"/>
      <c r="E216" s="8" t="s">
        <v>11</v>
      </c>
      <c r="F216" s="7"/>
      <c r="J216" s="37" t="str">
        <f t="shared" si="18"/>
        <v/>
      </c>
      <c r="K216" s="37" t="b">
        <f t="shared" si="19"/>
        <v>1</v>
      </c>
      <c r="L216" s="37" t="b">
        <f t="shared" si="20"/>
        <v>1</v>
      </c>
      <c r="M216" s="37" t="str">
        <f t="shared" si="21"/>
        <v/>
      </c>
      <c r="N216" s="37" t="b">
        <f t="shared" si="22"/>
        <v>1</v>
      </c>
      <c r="O216" s="37" t="b">
        <f t="shared" si="23"/>
        <v>1</v>
      </c>
      <c r="R216" s="7" t="s">
        <v>11</v>
      </c>
      <c r="U216" s="7" t="s">
        <v>11</v>
      </c>
    </row>
    <row r="217" spans="1:23" x14ac:dyDescent="0.25">
      <c r="A217" s="3" t="s">
        <v>197</v>
      </c>
      <c r="B217" s="8" t="s">
        <v>11</v>
      </c>
      <c r="C217" s="7"/>
      <c r="D217" s="7"/>
      <c r="E217" s="8" t="s">
        <v>11</v>
      </c>
      <c r="F217" s="7"/>
      <c r="J217" s="37" t="str">
        <f t="shared" si="18"/>
        <v/>
      </c>
      <c r="K217" s="37" t="b">
        <f t="shared" si="19"/>
        <v>1</v>
      </c>
      <c r="L217" s="37" t="b">
        <f t="shared" si="20"/>
        <v>1</v>
      </c>
      <c r="M217" s="37" t="str">
        <f t="shared" si="21"/>
        <v/>
      </c>
      <c r="N217" s="37" t="b">
        <f t="shared" si="22"/>
        <v>1</v>
      </c>
      <c r="O217" s="37" t="b">
        <f t="shared" si="23"/>
        <v>1</v>
      </c>
      <c r="R217" s="7" t="s">
        <v>11</v>
      </c>
      <c r="U217" s="7" t="s">
        <v>11</v>
      </c>
    </row>
    <row r="218" spans="1:23" x14ac:dyDescent="0.25">
      <c r="A218" s="4" t="s">
        <v>308</v>
      </c>
      <c r="B218" s="8" t="s">
        <v>11</v>
      </c>
      <c r="C218" s="7"/>
      <c r="D218" s="7"/>
      <c r="E218" s="31">
        <v>14.972</v>
      </c>
      <c r="F218" s="7"/>
      <c r="G218" s="8" t="s">
        <v>298</v>
      </c>
      <c r="J218" s="37" t="str">
        <f t="shared" si="18"/>
        <v/>
      </c>
      <c r="K218" s="37" t="b">
        <f t="shared" si="19"/>
        <v>1</v>
      </c>
      <c r="L218" s="37" t="b">
        <f t="shared" si="20"/>
        <v>1</v>
      </c>
      <c r="M218" s="37">
        <f t="shared" si="21"/>
        <v>-0.91600000000000037</v>
      </c>
      <c r="N218" s="37" t="b">
        <f t="shared" si="22"/>
        <v>1</v>
      </c>
      <c r="O218" s="37" t="b">
        <f t="shared" si="23"/>
        <v>1</v>
      </c>
      <c r="R218" s="7" t="s">
        <v>11</v>
      </c>
      <c r="U218" s="7">
        <v>15.888</v>
      </c>
      <c r="W218" s="7" t="s">
        <v>298</v>
      </c>
    </row>
    <row r="219" spans="1:23" x14ac:dyDescent="0.25">
      <c r="A219" s="2" t="s">
        <v>274</v>
      </c>
      <c r="B219" s="8" t="s">
        <v>11</v>
      </c>
      <c r="C219" s="7"/>
      <c r="D219" s="7"/>
      <c r="E219" s="8" t="s">
        <v>11</v>
      </c>
      <c r="F219" s="7"/>
      <c r="J219" s="37" t="str">
        <f t="shared" si="18"/>
        <v/>
      </c>
      <c r="K219" s="37" t="b">
        <f t="shared" si="19"/>
        <v>1</v>
      </c>
      <c r="L219" s="37" t="b">
        <f t="shared" si="20"/>
        <v>1</v>
      </c>
      <c r="M219" s="37" t="str">
        <f t="shared" si="21"/>
        <v/>
      </c>
      <c r="N219" s="37" t="b">
        <f t="shared" si="22"/>
        <v>1</v>
      </c>
      <c r="O219" s="37" t="b">
        <f t="shared" si="23"/>
        <v>1</v>
      </c>
      <c r="R219" s="7" t="s">
        <v>11</v>
      </c>
      <c r="U219" s="7" t="s">
        <v>11</v>
      </c>
    </row>
    <row r="220" spans="1:23" x14ac:dyDescent="0.25">
      <c r="A220" s="2" t="s">
        <v>195</v>
      </c>
      <c r="B220" s="8" t="s">
        <v>11</v>
      </c>
      <c r="C220" s="7"/>
      <c r="D220" s="7"/>
      <c r="E220" s="31">
        <v>7.7480000000000002</v>
      </c>
      <c r="F220" s="7"/>
      <c r="G220" s="8" t="s">
        <v>298</v>
      </c>
      <c r="J220" s="37" t="str">
        <f t="shared" si="18"/>
        <v/>
      </c>
      <c r="K220" s="37" t="b">
        <f t="shared" si="19"/>
        <v>1</v>
      </c>
      <c r="L220" s="37" t="b">
        <f t="shared" si="20"/>
        <v>1</v>
      </c>
      <c r="M220" s="37">
        <f t="shared" si="21"/>
        <v>-0.14499999999999957</v>
      </c>
      <c r="N220" s="37" t="b">
        <f t="shared" si="22"/>
        <v>1</v>
      </c>
      <c r="O220" s="37" t="b">
        <f t="shared" si="23"/>
        <v>1</v>
      </c>
      <c r="R220" s="7" t="s">
        <v>11</v>
      </c>
      <c r="U220" s="7">
        <v>7.8929999999999998</v>
      </c>
      <c r="W220" s="7" t="s">
        <v>298</v>
      </c>
    </row>
    <row r="221" spans="1:23" x14ac:dyDescent="0.25">
      <c r="A221" s="2" t="s">
        <v>189</v>
      </c>
      <c r="B221" s="8" t="s">
        <v>11</v>
      </c>
      <c r="C221" s="7"/>
      <c r="D221" s="7"/>
      <c r="E221" s="8">
        <v>26.213999999999999</v>
      </c>
      <c r="F221" s="7"/>
      <c r="G221" s="7" t="s">
        <v>298</v>
      </c>
      <c r="J221" s="37" t="str">
        <f t="shared" si="18"/>
        <v/>
      </c>
      <c r="K221" s="37" t="b">
        <f t="shared" si="19"/>
        <v>1</v>
      </c>
      <c r="L221" s="37" t="b">
        <f t="shared" si="20"/>
        <v>1</v>
      </c>
      <c r="M221" s="37" t="e">
        <f t="shared" si="21"/>
        <v>#VALUE!</v>
      </c>
      <c r="N221" s="37" t="b">
        <f t="shared" si="22"/>
        <v>1</v>
      </c>
      <c r="O221" s="37" t="b">
        <f t="shared" si="23"/>
        <v>0</v>
      </c>
      <c r="R221" s="7" t="s">
        <v>11</v>
      </c>
      <c r="U221" s="7" t="s">
        <v>11</v>
      </c>
    </row>
    <row r="222" spans="1:23" x14ac:dyDescent="0.25">
      <c r="A222" s="2" t="s">
        <v>199</v>
      </c>
      <c r="B222" s="8" t="s">
        <v>11</v>
      </c>
      <c r="C222" s="7"/>
      <c r="D222" s="7"/>
      <c r="E222" s="8" t="s">
        <v>11</v>
      </c>
      <c r="F222" s="7"/>
      <c r="J222" s="37" t="str">
        <f t="shared" si="18"/>
        <v/>
      </c>
      <c r="K222" s="37" t="b">
        <f t="shared" si="19"/>
        <v>1</v>
      </c>
      <c r="L222" s="37" t="b">
        <f t="shared" si="20"/>
        <v>1</v>
      </c>
      <c r="M222" s="37" t="str">
        <f t="shared" si="21"/>
        <v/>
      </c>
      <c r="N222" s="37" t="b">
        <f t="shared" si="22"/>
        <v>1</v>
      </c>
      <c r="O222" s="37" t="b">
        <f t="shared" si="23"/>
        <v>1</v>
      </c>
      <c r="R222" s="7" t="s">
        <v>11</v>
      </c>
      <c r="U222" s="7" t="s">
        <v>11</v>
      </c>
    </row>
    <row r="223" spans="1:23" x14ac:dyDescent="0.25">
      <c r="A223" s="2" t="s">
        <v>191</v>
      </c>
      <c r="B223" s="31">
        <v>39.765999999999998</v>
      </c>
      <c r="C223" s="7"/>
      <c r="D223" s="8" t="s">
        <v>298</v>
      </c>
      <c r="E223" s="31">
        <v>35.942999999999998</v>
      </c>
      <c r="F223" s="7"/>
      <c r="G223" s="8" t="s">
        <v>298</v>
      </c>
      <c r="J223" s="37">
        <f t="shared" si="18"/>
        <v>0.85099999999999909</v>
      </c>
      <c r="K223" s="37" t="b">
        <f t="shared" si="19"/>
        <v>1</v>
      </c>
      <c r="L223" s="37" t="b">
        <f t="shared" si="20"/>
        <v>1</v>
      </c>
      <c r="M223" s="37">
        <f t="shared" si="21"/>
        <v>-0.36400000000000432</v>
      </c>
      <c r="N223" s="37" t="b">
        <f t="shared" si="22"/>
        <v>1</v>
      </c>
      <c r="O223" s="37" t="b">
        <f t="shared" si="23"/>
        <v>1</v>
      </c>
      <c r="R223" s="7">
        <v>38.914999999999999</v>
      </c>
      <c r="T223" s="7" t="s">
        <v>298</v>
      </c>
      <c r="U223" s="7">
        <v>36.307000000000002</v>
      </c>
      <c r="W223" s="7" t="s">
        <v>298</v>
      </c>
    </row>
    <row r="224" spans="1:23" x14ac:dyDescent="0.25">
      <c r="A224" s="3" t="s">
        <v>185</v>
      </c>
      <c r="B224" s="31">
        <v>33.090000000000003</v>
      </c>
      <c r="C224" s="7"/>
      <c r="D224" s="8" t="s">
        <v>298</v>
      </c>
      <c r="E224" s="31">
        <v>40.828000000000003</v>
      </c>
      <c r="F224" s="7"/>
      <c r="G224" s="8" t="s">
        <v>298</v>
      </c>
      <c r="J224" s="37">
        <f t="shared" si="18"/>
        <v>-1.0579999999999998</v>
      </c>
      <c r="K224" s="37" t="b">
        <f t="shared" si="19"/>
        <v>1</v>
      </c>
      <c r="L224" s="37" t="b">
        <f t="shared" si="20"/>
        <v>1</v>
      </c>
      <c r="M224" s="37">
        <f t="shared" si="21"/>
        <v>-1.9919999999999973</v>
      </c>
      <c r="N224" s="37" t="b">
        <f t="shared" si="22"/>
        <v>1</v>
      </c>
      <c r="O224" s="37" t="b">
        <f t="shared" si="23"/>
        <v>1</v>
      </c>
      <c r="R224" s="7">
        <v>34.148000000000003</v>
      </c>
      <c r="T224" s="7" t="s">
        <v>298</v>
      </c>
      <c r="U224" s="7">
        <v>42.82</v>
      </c>
      <c r="W224" s="7" t="s">
        <v>298</v>
      </c>
    </row>
    <row r="225" spans="1:23" x14ac:dyDescent="0.25">
      <c r="A225" s="4" t="s">
        <v>307</v>
      </c>
      <c r="B225" s="31">
        <v>32.491</v>
      </c>
      <c r="C225" s="7"/>
      <c r="D225" s="8" t="s">
        <v>298</v>
      </c>
      <c r="E225" s="31">
        <v>42.658999999999999</v>
      </c>
      <c r="F225" s="7"/>
      <c r="G225" s="8" t="s">
        <v>298</v>
      </c>
      <c r="J225" s="37">
        <f t="shared" si="18"/>
        <v>-1.392000000000003</v>
      </c>
      <c r="K225" s="37" t="b">
        <f t="shared" si="19"/>
        <v>1</v>
      </c>
      <c r="L225" s="37" t="b">
        <f t="shared" si="20"/>
        <v>1</v>
      </c>
      <c r="M225" s="37">
        <f t="shared" si="21"/>
        <v>-2.203000000000003</v>
      </c>
      <c r="N225" s="37" t="b">
        <f t="shared" si="22"/>
        <v>1</v>
      </c>
      <c r="O225" s="37" t="b">
        <f t="shared" si="23"/>
        <v>1</v>
      </c>
      <c r="R225" s="7">
        <v>33.883000000000003</v>
      </c>
      <c r="T225" s="7" t="s">
        <v>298</v>
      </c>
      <c r="U225" s="7">
        <v>44.862000000000002</v>
      </c>
      <c r="W225" s="7" t="s">
        <v>298</v>
      </c>
    </row>
    <row r="226" spans="1:23" x14ac:dyDescent="0.25">
      <c r="A226" s="2" t="s">
        <v>273</v>
      </c>
      <c r="B226" s="31">
        <v>33.622</v>
      </c>
      <c r="C226" s="7"/>
      <c r="D226" s="8" t="s">
        <v>298</v>
      </c>
      <c r="E226" s="31">
        <v>39.118000000000002</v>
      </c>
      <c r="F226" s="7"/>
      <c r="G226" s="8" t="s">
        <v>298</v>
      </c>
      <c r="J226" s="37">
        <f t="shared" si="18"/>
        <v>-0.74199999999999733</v>
      </c>
      <c r="K226" s="37" t="b">
        <f t="shared" si="19"/>
        <v>1</v>
      </c>
      <c r="L226" s="37" t="b">
        <f t="shared" si="20"/>
        <v>1</v>
      </c>
      <c r="M226" s="37">
        <f t="shared" si="21"/>
        <v>-1.9510000000000005</v>
      </c>
      <c r="N226" s="37" t="b">
        <f t="shared" si="22"/>
        <v>1</v>
      </c>
      <c r="O226" s="37" t="b">
        <f t="shared" si="23"/>
        <v>1</v>
      </c>
      <c r="R226" s="7">
        <v>34.363999999999997</v>
      </c>
      <c r="T226" s="7" t="s">
        <v>298</v>
      </c>
      <c r="U226" s="7">
        <v>41.069000000000003</v>
      </c>
      <c r="W226" s="7" t="s">
        <v>298</v>
      </c>
    </row>
    <row r="227" spans="1:23" x14ac:dyDescent="0.25">
      <c r="A227" s="2" t="s">
        <v>201</v>
      </c>
      <c r="B227" s="31">
        <v>38.091000000000001</v>
      </c>
      <c r="C227" s="7"/>
      <c r="D227" s="8" t="s">
        <v>298</v>
      </c>
      <c r="E227" s="31">
        <v>43.137999999999998</v>
      </c>
      <c r="F227" s="7"/>
      <c r="G227" s="8" t="s">
        <v>298</v>
      </c>
      <c r="J227" s="37">
        <f t="shared" si="18"/>
        <v>-2.1709999999999994</v>
      </c>
      <c r="K227" s="37" t="b">
        <f t="shared" si="19"/>
        <v>1</v>
      </c>
      <c r="L227" s="37" t="b">
        <f t="shared" si="20"/>
        <v>1</v>
      </c>
      <c r="M227" s="37">
        <f t="shared" si="21"/>
        <v>-1.8070000000000022</v>
      </c>
      <c r="N227" s="37" t="b">
        <f t="shared" si="22"/>
        <v>1</v>
      </c>
      <c r="O227" s="37" t="b">
        <f t="shared" si="23"/>
        <v>1</v>
      </c>
      <c r="R227" s="7">
        <v>40.262</v>
      </c>
      <c r="T227" s="7" t="s">
        <v>298</v>
      </c>
      <c r="U227" s="7">
        <v>44.945</v>
      </c>
      <c r="W227" s="7" t="s">
        <v>298</v>
      </c>
    </row>
    <row r="228" spans="1:23" x14ac:dyDescent="0.25">
      <c r="A228" s="5" t="s">
        <v>202</v>
      </c>
      <c r="B228" s="34">
        <v>34.584000000000003</v>
      </c>
      <c r="C228" s="7"/>
      <c r="D228" s="23" t="s">
        <v>298</v>
      </c>
      <c r="E228" s="34">
        <v>33.231999999999999</v>
      </c>
      <c r="F228" s="7"/>
      <c r="G228" s="23" t="s">
        <v>298</v>
      </c>
      <c r="J228" s="37">
        <f t="shared" si="18"/>
        <v>-0.38899999999999579</v>
      </c>
      <c r="K228" s="37" t="b">
        <f t="shared" si="19"/>
        <v>1</v>
      </c>
      <c r="L228" s="37" t="b">
        <f t="shared" si="20"/>
        <v>1</v>
      </c>
      <c r="M228" s="37">
        <f t="shared" si="21"/>
        <v>-1.1120000000000019</v>
      </c>
      <c r="N228" s="37" t="b">
        <f t="shared" si="22"/>
        <v>1</v>
      </c>
      <c r="O228" s="37" t="b">
        <f t="shared" si="23"/>
        <v>1</v>
      </c>
      <c r="R228" s="7">
        <v>34.972999999999999</v>
      </c>
      <c r="T228" s="7" t="s">
        <v>298</v>
      </c>
      <c r="U228" s="7">
        <v>34.344000000000001</v>
      </c>
      <c r="W228" s="7" t="s">
        <v>298</v>
      </c>
    </row>
    <row r="229" spans="1:23" ht="15" customHeight="1" x14ac:dyDescent="0.25">
      <c r="A229" s="16"/>
      <c r="B229" s="17"/>
      <c r="C229" s="18"/>
      <c r="D229" s="18"/>
      <c r="E229" s="17"/>
      <c r="F229" s="18"/>
    </row>
    <row r="230" spans="1:23" ht="15.6" customHeight="1" x14ac:dyDescent="0.25">
      <c r="A230" s="19" t="s">
        <v>261</v>
      </c>
      <c r="B230" s="20" t="s">
        <v>262</v>
      </c>
      <c r="C230" s="20"/>
      <c r="D230" s="20"/>
    </row>
    <row r="231" spans="1:23" ht="15.6" customHeight="1" x14ac:dyDescent="0.25">
      <c r="A231" s="19"/>
      <c r="B231" s="20" t="s">
        <v>263</v>
      </c>
      <c r="C231" s="20"/>
      <c r="D231" s="20"/>
    </row>
    <row r="232" spans="1:23" ht="15.6" customHeight="1" x14ac:dyDescent="0.25">
      <c r="A232" s="19"/>
      <c r="B232" s="20" t="s">
        <v>264</v>
      </c>
      <c r="C232" s="20"/>
      <c r="D232" s="20"/>
    </row>
    <row r="233" spans="1:23" ht="13.2" customHeight="1" x14ac:dyDescent="0.25">
      <c r="A233" s="15"/>
      <c r="B233" s="21" t="s">
        <v>265</v>
      </c>
      <c r="C233" s="21"/>
      <c r="D233" s="21"/>
    </row>
    <row r="234" spans="1:23" ht="13.2" customHeight="1" x14ac:dyDescent="0.25">
      <c r="A234" s="15"/>
      <c r="B234" s="22" t="s">
        <v>266</v>
      </c>
      <c r="C234" s="21"/>
      <c r="D234" s="21"/>
    </row>
    <row r="235" spans="1:23" ht="13.2" customHeight="1" x14ac:dyDescent="0.25">
      <c r="A235" s="15"/>
      <c r="B235" s="33" t="s">
        <v>283</v>
      </c>
      <c r="C235" s="21"/>
      <c r="D235" s="21"/>
    </row>
    <row r="236" spans="1:23" ht="15.6" customHeight="1" x14ac:dyDescent="0.25"/>
    <row r="237" spans="1:23" ht="14.4" customHeight="1" x14ac:dyDescent="0.25">
      <c r="A237" s="23" t="s">
        <v>267</v>
      </c>
      <c r="B237" s="9" t="s">
        <v>268</v>
      </c>
    </row>
    <row r="238" spans="1:23" ht="14.4" customHeight="1" x14ac:dyDescent="0.25"/>
    <row r="239" spans="1:23" ht="16.2" customHeight="1" x14ac:dyDescent="0.25">
      <c r="A239" s="23" t="s">
        <v>269</v>
      </c>
      <c r="B239" s="9" t="s">
        <v>299</v>
      </c>
    </row>
    <row r="240" spans="1:23" ht="16.2" customHeight="1" x14ac:dyDescent="0.25"/>
    <row r="241" spans="1:4" ht="15.6" customHeight="1" x14ac:dyDescent="0.25">
      <c r="A241" s="24" t="s">
        <v>270</v>
      </c>
      <c r="B241" s="28"/>
      <c r="C241" s="29"/>
      <c r="D241" s="29"/>
    </row>
    <row r="242" spans="1:4" ht="15" customHeight="1" x14ac:dyDescent="0.25">
      <c r="A242" s="6" t="s">
        <v>271</v>
      </c>
      <c r="B242" s="25" t="s">
        <v>272</v>
      </c>
      <c r="C242" s="25"/>
      <c r="D242" s="25"/>
    </row>
    <row r="243" spans="1:4" ht="19.95" customHeight="1" x14ac:dyDescent="0.25"/>
    <row r="244" spans="1:4" ht="19.95" customHeight="1" x14ac:dyDescent="0.25"/>
    <row r="245" spans="1:4" ht="19.95" customHeight="1" x14ac:dyDescent="0.25"/>
    <row r="246" spans="1:4" ht="19.95" customHeight="1" x14ac:dyDescent="0.25"/>
    <row r="247" spans="1:4" ht="19.95" customHeight="1" x14ac:dyDescent="0.25"/>
    <row r="248" spans="1:4" ht="19.95" customHeight="1" x14ac:dyDescent="0.25"/>
    <row r="249" spans="1:4" ht="19.95" customHeight="1" x14ac:dyDescent="0.25"/>
    <row r="250" spans="1:4" ht="19.95" customHeight="1" x14ac:dyDescent="0.25"/>
    <row r="251" spans="1:4" ht="19.95" customHeight="1" x14ac:dyDescent="0.25"/>
    <row r="252" spans="1:4" ht="19.95" customHeight="1" x14ac:dyDescent="0.25"/>
  </sheetData>
  <autoFilter ref="A10:O228" xr:uid="{064943B5-95CC-49FB-BFD6-B3D6A54F4182}"/>
  <mergeCells count="13">
    <mergeCell ref="O8:O9"/>
    <mergeCell ref="B1:F1"/>
    <mergeCell ref="B2:F2"/>
    <mergeCell ref="B7:F7"/>
    <mergeCell ref="A8:A9"/>
    <mergeCell ref="B8:C9"/>
    <mergeCell ref="D8:D9"/>
    <mergeCell ref="E8:F9"/>
    <mergeCell ref="G8:G9"/>
    <mergeCell ref="J7:N7"/>
    <mergeCell ref="J8:K9"/>
    <mergeCell ref="L8:L9"/>
    <mergeCell ref="M8:N9"/>
  </mergeCells>
  <conditionalFormatting sqref="K11:L228">
    <cfRule type="containsText" dxfId="1" priority="2" operator="containsText" text="false">
      <formula>NOT(ISERROR(SEARCH("false",K11)))</formula>
    </cfRule>
  </conditionalFormatting>
  <conditionalFormatting sqref="N11:O228">
    <cfRule type="containsText" dxfId="0" priority="1" operator="containsText" text="false">
      <formula>NOT(ISERROR(SEARCH("false",N11)))</formula>
    </cfRule>
  </conditionalFormatting>
  <hyperlinks>
    <hyperlink ref="B242" r:id="rId1" xr:uid="{A279C4F2-8FF6-4539-BAF5-A68267746570}"/>
  </hyperlinks>
  <pageMargins left="0.7" right="0.7" top="0.75" bottom="0.75" header="0.3" footer="0.3"/>
  <pageSetup orientation="portrait"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Justification of wife-beating</vt:lpstr>
      <vt:lpstr>Justification of wife-beati chk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Munkhbadar Jugder</cp:lastModifiedBy>
  <dcterms:created xsi:type="dcterms:W3CDTF">2021-07-20T08:51:50Z</dcterms:created>
  <dcterms:modified xsi:type="dcterms:W3CDTF">2025-08-11T00:09:24Z</dcterms:modified>
</cp:coreProperties>
</file>